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科目表" sheetId="2" state="visible" r:id="rId2"/>
    <sheet name="日記簿" sheetId="3" state="visible" r:id="rId3"/>
    <sheet name="試算表" sheetId="4" state="visible" r:id="rId4"/>
    <sheet name="資產負債表" sheetId="5" state="visible" r:id="rId5"/>
    <sheet name="損益表" sheetId="6" state="visible" r:id="rId6"/>
    <sheet name="VAT計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</font>
    <font>
      <b val="1"/>
      <color rgb="00008000"/>
    </font>
    <font>
      <b val="1"/>
      <sz val="14"/>
    </font>
    <font>
      <sz val="10"/>
    </font>
    <font>
      <b val="1"/>
      <sz val="11"/>
    </font>
    <font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4" fillId="3" borderId="0" pivotButton="0" quotePrefix="0" xfId="0"/>
    <xf numFmtId="3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0" pivotButton="0" quotePrefix="0" xfId="0"/>
    <xf numFmtId="3" fontId="0" fillId="0" borderId="0" pivotButton="0" quotePrefix="0" xfId="0"/>
    <xf numFmtId="3" fontId="4" fillId="3" borderId="0" pivotButton="0" quotePrefix="0" xfId="0"/>
    <xf numFmtId="0" fontId="8" fillId="0" borderId="0" pivotButton="0" quotePrefix="0" xfId="0"/>
    <xf numFmtId="3" fontId="8" fillId="0" borderId="0" pivotButton="0" quotePrefix="0" xfId="0"/>
    <xf numFmtId="0" fontId="9" fillId="0" borderId="0" pivotButton="0" quotePrefix="0" xfId="0"/>
    <xf numFmtId="3" fontId="9" fillId="0" borderId="0" pivotButton="0" quotePrefix="0" xfId="0"/>
    <xf numFmtId="3" fontId="4" fillId="0" borderId="0" pivotButton="0" quotePrefix="0" xfId="0"/>
    <xf numFmtId="0" fontId="8" fillId="3" borderId="0" pivotButton="0" quotePrefix="0" xfId="0"/>
    <xf numFmtId="3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台灣小公司 Excel 記帳系統</t>
        </is>
      </c>
    </row>
    <row r="3">
      <c r="A3" s="2" t="inlineStr">
        <is>
          <t>使用說明</t>
        </is>
      </c>
    </row>
    <row r="4" ht="20" customHeight="1">
      <c r="A4" s="3" t="inlineStr">
        <is>
          <t>1. 在「日記簿」頁面輸入所有傳票記錄</t>
        </is>
      </c>
    </row>
    <row r="5" ht="20" customHeight="1">
      <c r="A5" s="3" t="inlineStr">
        <is>
          <t>2. 科目表可在「科目表」頁面查看和修改</t>
        </is>
      </c>
    </row>
    <row r="6" ht="20" customHeight="1">
      <c r="A6" s="3" t="inlineStr">
        <is>
          <t>3. 「試算表」會自動計算每個科目的借貸合計和餘額</t>
        </is>
      </c>
    </row>
    <row r="7" ht="20" customHeight="1">
      <c r="A7" s="3" t="inlineStr">
        <is>
          <t>4. 「資產負債表」和「損益表」會自動根據試算表生成</t>
        </is>
      </c>
    </row>
    <row r="8" ht="20" customHeight="1">
      <c r="A8" s="3" t="inlineStr">
        <is>
          <t>5. 「VAT計算」頁面顯示進項稅和銷項稅</t>
        </is>
      </c>
    </row>
    <row r="9" ht="20" customHeight="1">
      <c r="A9" s="3" t="inlineStr"/>
    </row>
    <row r="10" ht="20" customHeight="1">
      <c r="A10" s="3" t="inlineStr">
        <is>
          <t>日記簿輸入欄位：</t>
        </is>
      </c>
    </row>
    <row r="11" ht="20" customHeight="1">
      <c r="A11" s="3" t="inlineStr">
        <is>
          <t>- 傳票號：唯一編號（如 2401001）</t>
        </is>
      </c>
    </row>
    <row r="12" ht="20" customHeight="1">
      <c r="A12" s="3" t="inlineStr">
        <is>
          <t>- 日期：YYYY/MM/DD 格式</t>
        </is>
      </c>
    </row>
    <row r="13" ht="20" customHeight="1">
      <c r="A13" s="3" t="inlineStr">
        <is>
          <t>- 摘要：交易說明</t>
        </is>
      </c>
    </row>
    <row r="14" ht="20" customHeight="1">
      <c r="A14" s="3" t="inlineStr">
        <is>
          <t>- 科目代號：必須是科目表中的代號</t>
        </is>
      </c>
    </row>
    <row r="15" ht="20" customHeight="1">
      <c r="A15" s="3" t="inlineStr">
        <is>
          <t>- 借方金額：此科目貸方金額為 0</t>
        </is>
      </c>
    </row>
    <row r="16" ht="20" customHeight="1">
      <c r="A16" s="3" t="inlineStr">
        <is>
          <t>- 貸方金額：此科目借方金額為 0</t>
        </is>
      </c>
    </row>
    <row r="17" ht="20" customHeight="1">
      <c r="A17" s="3" t="inlineStr"/>
    </row>
    <row r="18" ht="20" customHeight="1">
      <c r="A18" s="3" t="inlineStr">
        <is>
          <t>提醒：借方 = 貸方（雙重記帳原則）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5" customWidth="1" min="4" max="4"/>
  </cols>
  <sheetData>
    <row r="1">
      <c r="A1" s="4" t="inlineStr">
        <is>
          <t>科目代號</t>
        </is>
      </c>
      <c r="B1" s="4" t="inlineStr">
        <is>
          <t>科目名稱</t>
        </is>
      </c>
      <c r="C1" s="4" t="inlineStr">
        <is>
          <t>借/貸</t>
        </is>
      </c>
      <c r="D1" s="4" t="inlineStr">
        <is>
          <t>科目類別</t>
        </is>
      </c>
    </row>
    <row r="2">
      <c r="A2" s="5" t="inlineStr">
        <is>
          <t>1111</t>
        </is>
      </c>
      <c r="B2" s="5" t="inlineStr">
        <is>
          <t>零用金</t>
        </is>
      </c>
      <c r="C2" s="5" t="inlineStr">
        <is>
          <t>借</t>
        </is>
      </c>
      <c r="D2" s="5" t="inlineStr">
        <is>
          <t>資產</t>
        </is>
      </c>
    </row>
    <row r="3">
      <c r="A3" s="5" t="inlineStr">
        <is>
          <t>1112</t>
        </is>
      </c>
      <c r="B3" s="5" t="inlineStr">
        <is>
          <t>銀行存款</t>
        </is>
      </c>
      <c r="C3" s="5" t="inlineStr">
        <is>
          <t>借</t>
        </is>
      </c>
      <c r="D3" s="5" t="inlineStr">
        <is>
          <t>資產</t>
        </is>
      </c>
    </row>
    <row r="4">
      <c r="A4" s="5" t="inlineStr">
        <is>
          <t>11121</t>
        </is>
      </c>
      <c r="B4" s="5" t="inlineStr">
        <is>
          <t>銀行存款-國泰</t>
        </is>
      </c>
      <c r="C4" s="5" t="inlineStr">
        <is>
          <t>借</t>
        </is>
      </c>
      <c r="D4" s="5" t="inlineStr">
        <is>
          <t>資產</t>
        </is>
      </c>
    </row>
    <row r="5">
      <c r="A5" s="5" t="inlineStr">
        <is>
          <t>11122</t>
        </is>
      </c>
      <c r="B5" s="5" t="inlineStr">
        <is>
          <t>銀行存款-合庫</t>
        </is>
      </c>
      <c r="C5" s="5" t="inlineStr">
        <is>
          <t>借</t>
        </is>
      </c>
      <c r="D5" s="5" t="inlineStr">
        <is>
          <t>資產</t>
        </is>
      </c>
    </row>
    <row r="6">
      <c r="A6" s="5" t="inlineStr">
        <is>
          <t>11123</t>
        </is>
      </c>
      <c r="B6" s="5" t="inlineStr">
        <is>
          <t>銀行存款-台銀活存</t>
        </is>
      </c>
      <c r="C6" s="5" t="inlineStr">
        <is>
          <t>借</t>
        </is>
      </c>
      <c r="D6" s="5" t="inlineStr">
        <is>
          <t>資產</t>
        </is>
      </c>
    </row>
    <row r="7">
      <c r="A7" s="5" t="inlineStr">
        <is>
          <t>11124</t>
        </is>
      </c>
      <c r="B7" s="5" t="inlineStr">
        <is>
          <t>銀行存款-台銀支存</t>
        </is>
      </c>
      <c r="C7" s="5" t="inlineStr">
        <is>
          <t>借</t>
        </is>
      </c>
      <c r="D7" s="5" t="inlineStr">
        <is>
          <t>資產</t>
        </is>
      </c>
    </row>
    <row r="8">
      <c r="A8" s="5" t="inlineStr">
        <is>
          <t>1113</t>
        </is>
      </c>
      <c r="B8" s="5" t="inlineStr">
        <is>
          <t>約當現金</t>
        </is>
      </c>
      <c r="C8" s="5" t="inlineStr">
        <is>
          <t>借</t>
        </is>
      </c>
      <c r="D8" s="5" t="inlineStr">
        <is>
          <t>資產</t>
        </is>
      </c>
    </row>
    <row r="9">
      <c r="A9" s="5" t="inlineStr">
        <is>
          <t>1114</t>
        </is>
      </c>
      <c r="B9" s="5" t="inlineStr">
        <is>
          <t>短期投資</t>
        </is>
      </c>
      <c r="C9" s="5" t="inlineStr">
        <is>
          <t>借</t>
        </is>
      </c>
      <c r="D9" s="5" t="inlineStr">
        <is>
          <t>資產</t>
        </is>
      </c>
    </row>
    <row r="10">
      <c r="A10" s="5" t="inlineStr">
        <is>
          <t>1151</t>
        </is>
      </c>
      <c r="B10" s="5" t="inlineStr">
        <is>
          <t>透過損益按公允價值衡量之金融資產-流動</t>
        </is>
      </c>
      <c r="C10" s="5" t="inlineStr">
        <is>
          <t>借</t>
        </is>
      </c>
      <c r="D10" s="5" t="inlineStr">
        <is>
          <t>資產</t>
        </is>
      </c>
    </row>
    <row r="11">
      <c r="A11" s="5" t="inlineStr">
        <is>
          <t>1154</t>
        </is>
      </c>
      <c r="B11" s="5" t="inlineStr">
        <is>
          <t>避險之金融資產-流動</t>
        </is>
      </c>
      <c r="C11" s="5" t="inlineStr">
        <is>
          <t>借</t>
        </is>
      </c>
      <c r="D11" s="5" t="inlineStr">
        <is>
          <t>資產</t>
        </is>
      </c>
    </row>
    <row r="12">
      <c r="A12" s="5" t="inlineStr">
        <is>
          <t>1158</t>
        </is>
      </c>
      <c r="B12" s="5" t="inlineStr">
        <is>
          <t>透過其他綜合損益按公允價值衡量之金融資產-流動</t>
        </is>
      </c>
      <c r="C12" s="5" t="inlineStr">
        <is>
          <t>借</t>
        </is>
      </c>
      <c r="D12" s="5" t="inlineStr">
        <is>
          <t>資產</t>
        </is>
      </c>
    </row>
    <row r="13">
      <c r="A13" s="5" t="inlineStr">
        <is>
          <t>1161</t>
        </is>
      </c>
      <c r="B13" s="5" t="inlineStr">
        <is>
          <t>按攤銷後成本衡量之金融資產－流動</t>
        </is>
      </c>
      <c r="C13" s="5" t="inlineStr">
        <is>
          <t>借</t>
        </is>
      </c>
      <c r="D13" s="5" t="inlineStr">
        <is>
          <t>資產</t>
        </is>
      </c>
    </row>
    <row r="14">
      <c r="A14" s="5" t="inlineStr">
        <is>
          <t>1157</t>
        </is>
      </c>
      <c r="B14" s="5" t="inlineStr">
        <is>
          <t>其他金融資產-流動</t>
        </is>
      </c>
      <c r="C14" s="5" t="inlineStr">
        <is>
          <t>借</t>
        </is>
      </c>
      <c r="D14" s="5" t="inlineStr">
        <is>
          <t>資產</t>
        </is>
      </c>
    </row>
    <row r="15">
      <c r="A15" s="5" t="inlineStr">
        <is>
          <t>1159</t>
        </is>
      </c>
      <c r="B15" s="5" t="inlineStr">
        <is>
          <t>減:累計減損-金融資產-流動</t>
        </is>
      </c>
      <c r="C15" s="5" t="inlineStr">
        <is>
          <t>貸</t>
        </is>
      </c>
      <c r="D15" s="5" t="inlineStr">
        <is>
          <t>資產</t>
        </is>
      </c>
    </row>
    <row r="16">
      <c r="A16" s="5" t="inlineStr">
        <is>
          <t>1125</t>
        </is>
      </c>
      <c r="B16" s="5" t="inlineStr">
        <is>
          <t>合約資產-流動</t>
        </is>
      </c>
      <c r="C16" s="5" t="inlineStr">
        <is>
          <t>借</t>
        </is>
      </c>
      <c r="D16" s="5" t="inlineStr">
        <is>
          <t>資產</t>
        </is>
      </c>
    </row>
    <row r="17">
      <c r="A17" s="5" t="inlineStr">
        <is>
          <t>1126</t>
        </is>
      </c>
      <c r="B17" s="5" t="inlineStr">
        <is>
          <t>減:累計減損-合約資產-流動</t>
        </is>
      </c>
      <c r="C17" s="5" t="inlineStr">
        <is>
          <t>貸</t>
        </is>
      </c>
      <c r="D17" s="5" t="inlineStr">
        <is>
          <t>資產</t>
        </is>
      </c>
    </row>
    <row r="18">
      <c r="A18" s="5" t="inlineStr">
        <is>
          <t>1121</t>
        </is>
      </c>
      <c r="B18" s="5" t="inlineStr">
        <is>
          <t>應收票據</t>
        </is>
      </c>
      <c r="C18" s="5" t="inlineStr">
        <is>
          <t>借</t>
        </is>
      </c>
      <c r="D18" s="5" t="inlineStr">
        <is>
          <t>資產</t>
        </is>
      </c>
    </row>
    <row r="19">
      <c r="A19" s="5" t="inlineStr">
        <is>
          <t>1122</t>
        </is>
      </c>
      <c r="B19" s="5" t="inlineStr">
        <is>
          <t>減:備抵呆帳-應收票據</t>
        </is>
      </c>
      <c r="C19" s="5" t="inlineStr">
        <is>
          <t>貸</t>
        </is>
      </c>
      <c r="D19" s="5" t="inlineStr">
        <is>
          <t>資產</t>
        </is>
      </c>
    </row>
    <row r="20">
      <c r="A20" s="5" t="inlineStr">
        <is>
          <t>1123</t>
        </is>
      </c>
      <c r="B20" s="5" t="inlineStr">
        <is>
          <t>應收帳款</t>
        </is>
      </c>
      <c r="C20" s="5" t="inlineStr">
        <is>
          <t>借</t>
        </is>
      </c>
      <c r="D20" s="5" t="inlineStr">
        <is>
          <t>資產</t>
        </is>
      </c>
    </row>
    <row r="21">
      <c r="A21" s="5" t="inlineStr">
        <is>
          <t>1124</t>
        </is>
      </c>
      <c r="B21" s="5" t="inlineStr">
        <is>
          <t>減:備抵呆帳-應收帳款</t>
        </is>
      </c>
      <c r="C21" s="5" t="inlineStr">
        <is>
          <t>貸</t>
        </is>
      </c>
      <c r="D21" s="5" t="inlineStr">
        <is>
          <t>資產</t>
        </is>
      </c>
    </row>
    <row r="22">
      <c r="A22" s="5" t="inlineStr">
        <is>
          <t>1129</t>
        </is>
      </c>
      <c r="B22" s="5" t="inlineStr">
        <is>
          <t>其他應收款</t>
        </is>
      </c>
      <c r="C22" s="5" t="inlineStr">
        <is>
          <t>借</t>
        </is>
      </c>
      <c r="D22" s="5" t="inlineStr">
        <is>
          <t>資產</t>
        </is>
      </c>
    </row>
    <row r="23">
      <c r="A23" s="5" t="inlineStr">
        <is>
          <t>1131</t>
        </is>
      </c>
      <c r="B23" s="5" t="inlineStr">
        <is>
          <t>商品</t>
        </is>
      </c>
      <c r="C23" s="5" t="inlineStr">
        <is>
          <t>借</t>
        </is>
      </c>
      <c r="D23" s="5" t="inlineStr">
        <is>
          <t>資產</t>
        </is>
      </c>
    </row>
    <row r="24">
      <c r="A24" s="5" t="inlineStr">
        <is>
          <t>1132</t>
        </is>
      </c>
      <c r="B24" s="5" t="inlineStr">
        <is>
          <t>製成品</t>
        </is>
      </c>
      <c r="C24" s="5" t="inlineStr">
        <is>
          <t>借</t>
        </is>
      </c>
      <c r="D24" s="5" t="inlineStr">
        <is>
          <t>資產</t>
        </is>
      </c>
    </row>
    <row r="25">
      <c r="A25" s="5" t="inlineStr">
        <is>
          <t>1133</t>
        </is>
      </c>
      <c r="B25" s="5" t="inlineStr">
        <is>
          <t>在製品</t>
        </is>
      </c>
      <c r="C25" s="5" t="inlineStr">
        <is>
          <t>借</t>
        </is>
      </c>
      <c r="D25" s="5" t="inlineStr">
        <is>
          <t>資產</t>
        </is>
      </c>
    </row>
    <row r="26">
      <c r="A26" s="5" t="inlineStr">
        <is>
          <t>1134</t>
        </is>
      </c>
      <c r="B26" s="5" t="inlineStr">
        <is>
          <t>原料</t>
        </is>
      </c>
      <c r="C26" s="5" t="inlineStr">
        <is>
          <t>借</t>
        </is>
      </c>
      <c r="D26" s="5" t="inlineStr">
        <is>
          <t>資產</t>
        </is>
      </c>
    </row>
    <row r="27">
      <c r="A27" s="5" t="inlineStr">
        <is>
          <t>1135</t>
        </is>
      </c>
      <c r="B27" s="5" t="inlineStr">
        <is>
          <t>物料</t>
        </is>
      </c>
      <c r="C27" s="5" t="inlineStr">
        <is>
          <t>借</t>
        </is>
      </c>
      <c r="D27" s="5" t="inlineStr">
        <is>
          <t>資產</t>
        </is>
      </c>
    </row>
    <row r="28">
      <c r="A28" s="5" t="inlineStr">
        <is>
          <t>1136</t>
        </is>
      </c>
      <c r="B28" s="5" t="inlineStr">
        <is>
          <t>寄銷品</t>
        </is>
      </c>
      <c r="C28" s="5" t="inlineStr">
        <is>
          <t>借</t>
        </is>
      </c>
      <c r="D28" s="5" t="inlineStr">
        <is>
          <t>資產</t>
        </is>
      </c>
    </row>
    <row r="29">
      <c r="A29" s="5" t="inlineStr">
        <is>
          <t>1138</t>
        </is>
      </c>
      <c r="B29" s="5" t="inlineStr">
        <is>
          <t>其他存貨</t>
        </is>
      </c>
      <c r="C29" s="5" t="inlineStr">
        <is>
          <t>借</t>
        </is>
      </c>
      <c r="D29" s="5" t="inlineStr">
        <is>
          <t>資產</t>
        </is>
      </c>
    </row>
    <row r="30">
      <c r="A30" s="5" t="inlineStr">
        <is>
          <t>1137</t>
        </is>
      </c>
      <c r="B30" s="5" t="inlineStr">
        <is>
          <t>備抵存貨跌價損失</t>
        </is>
      </c>
      <c r="C30" s="5" t="inlineStr">
        <is>
          <t>貸</t>
        </is>
      </c>
      <c r="D30" s="5" t="inlineStr">
        <is>
          <t>資產</t>
        </is>
      </c>
    </row>
    <row r="31">
      <c r="A31" s="5" t="inlineStr">
        <is>
          <t>1141</t>
        </is>
      </c>
      <c r="B31" s="5" t="inlineStr">
        <is>
          <t>預付費用</t>
        </is>
      </c>
      <c r="C31" s="5" t="inlineStr">
        <is>
          <t>借</t>
        </is>
      </c>
      <c r="D31" s="5" t="inlineStr">
        <is>
          <t>資產</t>
        </is>
      </c>
    </row>
    <row r="32">
      <c r="A32" s="5" t="inlineStr">
        <is>
          <t>1142</t>
        </is>
      </c>
      <c r="B32" s="5" t="inlineStr">
        <is>
          <t>用品盤存</t>
        </is>
      </c>
      <c r="C32" s="5" t="inlineStr">
        <is>
          <t>借</t>
        </is>
      </c>
      <c r="D32" s="5" t="inlineStr">
        <is>
          <t>資產</t>
        </is>
      </c>
    </row>
    <row r="33">
      <c r="A33" s="5" t="inlineStr">
        <is>
          <t>1143</t>
        </is>
      </c>
      <c r="B33" s="5" t="inlineStr">
        <is>
          <t>預付貨款</t>
        </is>
      </c>
      <c r="C33" s="5" t="inlineStr">
        <is>
          <t>借</t>
        </is>
      </c>
      <c r="D33" s="5" t="inlineStr">
        <is>
          <t>資產</t>
        </is>
      </c>
    </row>
    <row r="34">
      <c r="A34" s="5" t="inlineStr">
        <is>
          <t>1144</t>
        </is>
      </c>
      <c r="B34" s="5" t="inlineStr">
        <is>
          <t>進項稅額</t>
        </is>
      </c>
      <c r="C34" s="5" t="inlineStr">
        <is>
          <t>借</t>
        </is>
      </c>
      <c r="D34" s="5" t="inlineStr">
        <is>
          <t>資產</t>
        </is>
      </c>
    </row>
    <row r="35">
      <c r="A35" s="5" t="inlineStr">
        <is>
          <t>1145</t>
        </is>
      </c>
      <c r="B35" s="5" t="inlineStr">
        <is>
          <t>留抵稅額</t>
        </is>
      </c>
      <c r="C35" s="5" t="inlineStr">
        <is>
          <t>借</t>
        </is>
      </c>
      <c r="D35" s="5" t="inlineStr">
        <is>
          <t>資產</t>
        </is>
      </c>
    </row>
    <row r="36">
      <c r="A36" s="5" t="inlineStr">
        <is>
          <t>1149</t>
        </is>
      </c>
      <c r="B36" s="5" t="inlineStr">
        <is>
          <t>其他預付款</t>
        </is>
      </c>
      <c r="C36" s="5" t="inlineStr">
        <is>
          <t>借</t>
        </is>
      </c>
      <c r="D36" s="5" t="inlineStr">
        <is>
          <t>資產</t>
        </is>
      </c>
    </row>
    <row r="37">
      <c r="A37" s="5" t="inlineStr">
        <is>
          <t>1191</t>
        </is>
      </c>
      <c r="B37" s="5" t="inlineStr">
        <is>
          <t>暫付款</t>
        </is>
      </c>
      <c r="C37" s="5" t="inlineStr">
        <is>
          <t>借</t>
        </is>
      </c>
      <c r="D37" s="5" t="inlineStr">
        <is>
          <t>資產</t>
        </is>
      </c>
    </row>
    <row r="38">
      <c r="A38" s="5" t="inlineStr">
        <is>
          <t>1192</t>
        </is>
      </c>
      <c r="B38" s="5" t="inlineStr">
        <is>
          <t>股東往來</t>
        </is>
      </c>
      <c r="C38" s="5" t="inlineStr">
        <is>
          <t>借</t>
        </is>
      </c>
      <c r="D38" s="5" t="inlineStr">
        <is>
          <t>資產</t>
        </is>
      </c>
    </row>
    <row r="39">
      <c r="A39" s="5" t="inlineStr">
        <is>
          <t>1193</t>
        </is>
      </c>
      <c r="B39" s="5" t="inlineStr">
        <is>
          <t>同業往來</t>
        </is>
      </c>
      <c r="C39" s="5" t="inlineStr">
        <is>
          <t>借</t>
        </is>
      </c>
      <c r="D39" s="5" t="inlineStr">
        <is>
          <t>資產</t>
        </is>
      </c>
    </row>
    <row r="40">
      <c r="A40" s="5" t="inlineStr">
        <is>
          <t>1199</t>
        </is>
      </c>
      <c r="B40" s="5" t="inlineStr">
        <is>
          <t>其他流動資產-其他</t>
        </is>
      </c>
      <c r="C40" s="5" t="inlineStr">
        <is>
          <t>借</t>
        </is>
      </c>
      <c r="D40" s="5" t="inlineStr">
        <is>
          <t>資產</t>
        </is>
      </c>
    </row>
    <row r="41">
      <c r="A41" s="5" t="inlineStr">
        <is>
          <t>1300</t>
        </is>
      </c>
      <c r="B41" s="5" t="inlineStr">
        <is>
          <t>長期性之投資</t>
        </is>
      </c>
      <c r="C41" s="5" t="inlineStr">
        <is>
          <t>借</t>
        </is>
      </c>
      <c r="D41" s="5" t="inlineStr">
        <is>
          <t>資產</t>
        </is>
      </c>
    </row>
    <row r="42">
      <c r="A42" s="5" t="inlineStr">
        <is>
          <t>1415</t>
        </is>
      </c>
      <c r="B42" s="5" t="inlineStr">
        <is>
          <t>減:累計減損-長期性之投資</t>
        </is>
      </c>
      <c r="C42" s="5" t="inlineStr">
        <is>
          <t>貸</t>
        </is>
      </c>
      <c r="D42" s="5" t="inlineStr">
        <is>
          <t>資產</t>
        </is>
      </c>
    </row>
    <row r="43">
      <c r="A43" s="5" t="inlineStr">
        <is>
          <t>1612</t>
        </is>
      </c>
      <c r="B43" s="5" t="inlineStr">
        <is>
          <t>透過損益按公允價值衡量之金融資產-非流動</t>
        </is>
      </c>
      <c r="C43" s="5" t="inlineStr">
        <is>
          <t>借</t>
        </is>
      </c>
      <c r="D43" s="5" t="inlineStr">
        <is>
          <t>資產</t>
        </is>
      </c>
    </row>
    <row r="44">
      <c r="A44" s="5" t="inlineStr">
        <is>
          <t>1615</t>
        </is>
      </c>
      <c r="B44" s="5" t="inlineStr">
        <is>
          <t>避險之金融資產-非流動</t>
        </is>
      </c>
      <c r="C44" s="5" t="inlineStr">
        <is>
          <t>借</t>
        </is>
      </c>
      <c r="D44" s="5" t="inlineStr">
        <is>
          <t>資產</t>
        </is>
      </c>
    </row>
    <row r="45">
      <c r="A45" s="5" t="inlineStr">
        <is>
          <t>1621</t>
        </is>
      </c>
      <c r="B45" s="5" t="inlineStr">
        <is>
          <t>透過其他綜合損益按公允價值衡量之金融資產-非流動</t>
        </is>
      </c>
      <c r="C45" s="5" t="inlineStr">
        <is>
          <t>借</t>
        </is>
      </c>
      <c r="D45" s="5" t="inlineStr">
        <is>
          <t>資產</t>
        </is>
      </c>
    </row>
    <row r="46">
      <c r="A46" s="5" t="inlineStr">
        <is>
          <t>1622</t>
        </is>
      </c>
      <c r="B46" s="5" t="inlineStr">
        <is>
          <t>按攤銷後成本衡量之金融資產－非流動</t>
        </is>
      </c>
      <c r="C46" s="5" t="inlineStr">
        <is>
          <t>借</t>
        </is>
      </c>
      <c r="D46" s="5" t="inlineStr">
        <is>
          <t>資產</t>
        </is>
      </c>
    </row>
    <row r="47">
      <c r="A47" s="5" t="inlineStr">
        <is>
          <t>1618</t>
        </is>
      </c>
      <c r="B47" s="5" t="inlineStr">
        <is>
          <t>其他金融資產-非流動</t>
        </is>
      </c>
      <c r="C47" s="5" t="inlineStr">
        <is>
          <t>借</t>
        </is>
      </c>
      <c r="D47" s="5" t="inlineStr">
        <is>
          <t>資產</t>
        </is>
      </c>
    </row>
    <row r="48">
      <c r="A48" s="5" t="inlineStr">
        <is>
          <t>1630</t>
        </is>
      </c>
      <c r="B48" s="5" t="inlineStr">
        <is>
          <t>採用權益法之投資</t>
        </is>
      </c>
      <c r="C48" s="5" t="inlineStr">
        <is>
          <t>借</t>
        </is>
      </c>
      <c r="D48" s="5" t="inlineStr">
        <is>
          <t>資產</t>
        </is>
      </c>
    </row>
    <row r="49">
      <c r="A49" s="5" t="inlineStr">
        <is>
          <t>1631</t>
        </is>
      </c>
      <c r="B49" s="5" t="inlineStr">
        <is>
          <t>減:累計減損-金融資產-非流動</t>
        </is>
      </c>
      <c r="C49" s="5" t="inlineStr">
        <is>
          <t>貸</t>
        </is>
      </c>
      <c r="D49" s="5" t="inlineStr">
        <is>
          <t>資產</t>
        </is>
      </c>
    </row>
    <row r="50">
      <c r="A50" s="5" t="inlineStr">
        <is>
          <t>1640</t>
        </is>
      </c>
      <c r="B50" s="5" t="inlineStr">
        <is>
          <t>合約資產-非流動</t>
        </is>
      </c>
      <c r="C50" s="5" t="inlineStr">
        <is>
          <t>借</t>
        </is>
      </c>
      <c r="D50" s="5" t="inlineStr">
        <is>
          <t>資產</t>
        </is>
      </c>
    </row>
    <row r="51">
      <c r="A51" s="5" t="inlineStr">
        <is>
          <t>1641</t>
        </is>
      </c>
      <c r="B51" s="5" t="inlineStr">
        <is>
          <t>減:累計減損-合約資產-非流動</t>
        </is>
      </c>
      <c r="C51" s="5" t="inlineStr">
        <is>
          <t>貸</t>
        </is>
      </c>
      <c r="D51" s="5" t="inlineStr">
        <is>
          <t>資產</t>
        </is>
      </c>
    </row>
    <row r="52">
      <c r="A52" s="5" t="inlineStr">
        <is>
          <t>1410</t>
        </is>
      </c>
      <c r="B52" s="5" t="inlineStr">
        <is>
          <t>土地</t>
        </is>
      </c>
      <c r="C52" s="5" t="inlineStr">
        <is>
          <t>借</t>
        </is>
      </c>
      <c r="D52" s="5" t="inlineStr">
        <is>
          <t>資產</t>
        </is>
      </c>
    </row>
    <row r="53">
      <c r="A53" s="5" t="inlineStr">
        <is>
          <t>1411</t>
        </is>
      </c>
      <c r="B53" s="5" t="inlineStr">
        <is>
          <t>減:累計減損-土地</t>
        </is>
      </c>
      <c r="C53" s="5" t="inlineStr">
        <is>
          <t>貸</t>
        </is>
      </c>
      <c r="D53" s="5" t="inlineStr">
        <is>
          <t>資產</t>
        </is>
      </c>
    </row>
    <row r="54">
      <c r="A54" s="5" t="inlineStr">
        <is>
          <t>1431</t>
        </is>
      </c>
      <c r="B54" s="5" t="inlineStr">
        <is>
          <t>房屋及建築</t>
        </is>
      </c>
      <c r="C54" s="5" t="inlineStr">
        <is>
          <t>借</t>
        </is>
      </c>
      <c r="D54" s="5" t="inlineStr">
        <is>
          <t>資產</t>
        </is>
      </c>
    </row>
    <row r="55">
      <c r="A55" s="5" t="inlineStr">
        <is>
          <t>1432</t>
        </is>
      </c>
      <c r="B55" s="5" t="inlineStr">
        <is>
          <t>減:累計折舊-房屋及建築</t>
        </is>
      </c>
      <c r="C55" s="5" t="inlineStr">
        <is>
          <t>貸</t>
        </is>
      </c>
      <c r="D55" s="5" t="inlineStr">
        <is>
          <t>資產</t>
        </is>
      </c>
    </row>
    <row r="56">
      <c r="A56" s="5" t="inlineStr">
        <is>
          <t>1433</t>
        </is>
      </c>
      <c r="B56" s="5" t="inlineStr">
        <is>
          <t>減:累計減損-房屋及建築</t>
        </is>
      </c>
      <c r="C56" s="5" t="inlineStr">
        <is>
          <t>貸</t>
        </is>
      </c>
      <c r="D56" s="5" t="inlineStr">
        <is>
          <t>資產</t>
        </is>
      </c>
    </row>
    <row r="57">
      <c r="A57" s="5" t="inlineStr">
        <is>
          <t>1441</t>
        </is>
      </c>
      <c r="B57" s="5" t="inlineStr">
        <is>
          <t>機器設備</t>
        </is>
      </c>
      <c r="C57" s="5" t="inlineStr">
        <is>
          <t>借</t>
        </is>
      </c>
      <c r="D57" s="5" t="inlineStr">
        <is>
          <t>資產</t>
        </is>
      </c>
    </row>
    <row r="58">
      <c r="A58" s="5" t="inlineStr">
        <is>
          <t>1442</t>
        </is>
      </c>
      <c r="B58" s="5" t="inlineStr">
        <is>
          <t>減:累計折舊-機器設備</t>
        </is>
      </c>
      <c r="C58" s="5" t="inlineStr">
        <is>
          <t>貸</t>
        </is>
      </c>
      <c r="D58" s="5" t="inlineStr">
        <is>
          <t>資產</t>
        </is>
      </c>
    </row>
    <row r="59">
      <c r="A59" s="5" t="inlineStr">
        <is>
          <t>1443</t>
        </is>
      </c>
      <c r="B59" s="5" t="inlineStr">
        <is>
          <t>減:累計減損-機器設備</t>
        </is>
      </c>
      <c r="C59" s="5" t="inlineStr">
        <is>
          <t>貸</t>
        </is>
      </c>
      <c r="D59" s="5" t="inlineStr">
        <is>
          <t>資產</t>
        </is>
      </c>
    </row>
    <row r="60">
      <c r="A60" s="5" t="inlineStr">
        <is>
          <t>1451</t>
        </is>
      </c>
      <c r="B60" s="5" t="inlineStr">
        <is>
          <t>運輸設備</t>
        </is>
      </c>
      <c r="C60" s="5" t="inlineStr">
        <is>
          <t>借</t>
        </is>
      </c>
      <c r="D60" s="5" t="inlineStr">
        <is>
          <t>資產</t>
        </is>
      </c>
    </row>
    <row r="61">
      <c r="A61" s="5" t="inlineStr">
        <is>
          <t>1452</t>
        </is>
      </c>
      <c r="B61" s="5" t="inlineStr">
        <is>
          <t>減:累計折舊-運輸設備</t>
        </is>
      </c>
      <c r="C61" s="5" t="inlineStr">
        <is>
          <t>貸</t>
        </is>
      </c>
      <c r="D61" s="5" t="inlineStr">
        <is>
          <t>資產</t>
        </is>
      </c>
    </row>
    <row r="62">
      <c r="A62" s="5" t="inlineStr">
        <is>
          <t>1453</t>
        </is>
      </c>
      <c r="B62" s="5" t="inlineStr">
        <is>
          <t>減:累計減損-運輸設備</t>
        </is>
      </c>
      <c r="C62" s="5" t="inlineStr">
        <is>
          <t>貸</t>
        </is>
      </c>
      <c r="D62" s="5" t="inlineStr">
        <is>
          <t>資產</t>
        </is>
      </c>
    </row>
    <row r="63">
      <c r="A63" s="5" t="inlineStr">
        <is>
          <t>1461</t>
        </is>
      </c>
      <c r="B63" s="5" t="inlineStr">
        <is>
          <t>生財器具</t>
        </is>
      </c>
      <c r="C63" s="5" t="inlineStr">
        <is>
          <t>借</t>
        </is>
      </c>
      <c r="D63" s="5" t="inlineStr">
        <is>
          <t>資產</t>
        </is>
      </c>
    </row>
    <row r="64">
      <c r="A64" s="5" t="inlineStr">
        <is>
          <t>1462</t>
        </is>
      </c>
      <c r="B64" s="5" t="inlineStr">
        <is>
          <t>減:累計折舊-生財器具</t>
        </is>
      </c>
      <c r="C64" s="5" t="inlineStr">
        <is>
          <t>貸</t>
        </is>
      </c>
      <c r="D64" s="5" t="inlineStr">
        <is>
          <t>資產</t>
        </is>
      </c>
    </row>
    <row r="65">
      <c r="A65" s="5" t="inlineStr">
        <is>
          <t>1463</t>
        </is>
      </c>
      <c r="B65" s="5" t="inlineStr">
        <is>
          <t>減:累計減損-生財器具</t>
        </is>
      </c>
      <c r="C65" s="5" t="inlineStr">
        <is>
          <t>貸</t>
        </is>
      </c>
      <c r="D65" s="5" t="inlineStr">
        <is>
          <t>資產</t>
        </is>
      </c>
    </row>
    <row r="66">
      <c r="A66" s="5" t="inlineStr">
        <is>
          <t>1470</t>
        </is>
      </c>
      <c r="B66" s="5" t="inlineStr">
        <is>
          <t>未完工程及待驗設備</t>
        </is>
      </c>
      <c r="C66" s="5" t="inlineStr">
        <is>
          <t>借</t>
        </is>
      </c>
      <c r="D66" s="5" t="inlineStr">
        <is>
          <t>資產</t>
        </is>
      </c>
    </row>
    <row r="67">
      <c r="A67" s="5" t="inlineStr">
        <is>
          <t>1580</t>
        </is>
      </c>
      <c r="B67" s="5" t="inlineStr">
        <is>
          <t>預付購置設備款</t>
        </is>
      </c>
      <c r="C67" s="5" t="inlineStr">
        <is>
          <t>借</t>
        </is>
      </c>
      <c r="D67" s="5" t="inlineStr">
        <is>
          <t>資產</t>
        </is>
      </c>
    </row>
    <row r="68">
      <c r="A68" s="5" t="inlineStr">
        <is>
          <t>1491</t>
        </is>
      </c>
      <c r="B68" s="5" t="inlineStr">
        <is>
          <t>其他固定資產</t>
        </is>
      </c>
      <c r="C68" s="5" t="inlineStr">
        <is>
          <t>借</t>
        </is>
      </c>
      <c r="D68" s="5" t="inlineStr">
        <is>
          <t>資產</t>
        </is>
      </c>
    </row>
    <row r="69">
      <c r="A69" s="5" t="inlineStr">
        <is>
          <t>1492</t>
        </is>
      </c>
      <c r="B69" s="5" t="inlineStr">
        <is>
          <t>減:累計折舊-其他固定資產</t>
        </is>
      </c>
      <c r="C69" s="5" t="inlineStr">
        <is>
          <t>貸</t>
        </is>
      </c>
      <c r="D69" s="5" t="inlineStr">
        <is>
          <t>資產</t>
        </is>
      </c>
    </row>
    <row r="70">
      <c r="A70" s="5" t="inlineStr">
        <is>
          <t>1493</t>
        </is>
      </c>
      <c r="B70" s="5" t="inlineStr">
        <is>
          <t>減:累計減損-其他固定資產</t>
        </is>
      </c>
      <c r="C70" s="5" t="inlineStr">
        <is>
          <t>貸</t>
        </is>
      </c>
      <c r="D70" s="5" t="inlineStr">
        <is>
          <t>資產</t>
        </is>
      </c>
    </row>
    <row r="71">
      <c r="A71" s="5" t="inlineStr">
        <is>
          <t>1541</t>
        </is>
      </c>
      <c r="B71" s="5" t="inlineStr">
        <is>
          <t>投資性不動產</t>
        </is>
      </c>
      <c r="C71" s="5" t="inlineStr">
        <is>
          <t>借</t>
        </is>
      </c>
      <c r="D71" s="5" t="inlineStr">
        <is>
          <t>資產</t>
        </is>
      </c>
    </row>
    <row r="72">
      <c r="A72" s="5" t="inlineStr">
        <is>
          <t>1542</t>
        </is>
      </c>
      <c r="B72" s="5" t="inlineStr">
        <is>
          <t>減:累計折舊-投資性不動產</t>
        </is>
      </c>
      <c r="C72" s="5" t="inlineStr">
        <is>
          <t>貸</t>
        </is>
      </c>
      <c r="D72" s="5" t="inlineStr">
        <is>
          <t>資產</t>
        </is>
      </c>
    </row>
    <row r="73">
      <c r="A73" s="5" t="inlineStr">
        <is>
          <t>1421</t>
        </is>
      </c>
      <c r="B73" s="5" t="inlineStr">
        <is>
          <t>礦產資源</t>
        </is>
      </c>
      <c r="C73" s="5" t="inlineStr">
        <is>
          <t>借</t>
        </is>
      </c>
      <c r="D73" s="5" t="inlineStr">
        <is>
          <t>資產</t>
        </is>
      </c>
    </row>
    <row r="74">
      <c r="A74" s="5" t="inlineStr">
        <is>
          <t>1422</t>
        </is>
      </c>
      <c r="B74" s="5" t="inlineStr">
        <is>
          <t>減:累計折耗-礦產資源</t>
        </is>
      </c>
      <c r="C74" s="5" t="inlineStr">
        <is>
          <t>貸</t>
        </is>
      </c>
      <c r="D74" s="5" t="inlineStr">
        <is>
          <t>資產</t>
        </is>
      </c>
    </row>
    <row r="75">
      <c r="A75" s="5" t="inlineStr">
        <is>
          <t>1551</t>
        </is>
      </c>
      <c r="B75" s="5" t="inlineStr">
        <is>
          <t>生物資產</t>
        </is>
      </c>
      <c r="C75" s="5" t="inlineStr">
        <is>
          <t>借</t>
        </is>
      </c>
      <c r="D75" s="5" t="inlineStr">
        <is>
          <t>資產</t>
        </is>
      </c>
    </row>
    <row r="76">
      <c r="A76" s="5" t="inlineStr">
        <is>
          <t>1552</t>
        </is>
      </c>
      <c r="B76" s="5" t="inlineStr">
        <is>
          <t>減:累計折舊-生物資產</t>
        </is>
      </c>
      <c r="C76" s="5" t="inlineStr">
        <is>
          <t>貸</t>
        </is>
      </c>
      <c r="D76" s="5" t="inlineStr">
        <is>
          <t>資產</t>
        </is>
      </c>
    </row>
    <row r="77">
      <c r="A77" s="5" t="inlineStr">
        <is>
          <t>1553</t>
        </is>
      </c>
      <c r="B77" s="5" t="inlineStr">
        <is>
          <t>減:累計減損-生物資產</t>
        </is>
      </c>
      <c r="C77" s="5" t="inlineStr">
        <is>
          <t>貸</t>
        </is>
      </c>
      <c r="D77" s="5" t="inlineStr">
        <is>
          <t>資產</t>
        </is>
      </c>
    </row>
    <row r="78">
      <c r="A78" s="5" t="inlineStr">
        <is>
          <t>1510</t>
        </is>
      </c>
      <c r="B78" s="5" t="inlineStr">
        <is>
          <t>無形資產</t>
        </is>
      </c>
      <c r="C78" s="5" t="inlineStr">
        <is>
          <t>借</t>
        </is>
      </c>
      <c r="D78" s="5" t="inlineStr">
        <is>
          <t>資產</t>
        </is>
      </c>
    </row>
    <row r="79">
      <c r="A79" s="5" t="inlineStr">
        <is>
          <t>1511</t>
        </is>
      </c>
      <c r="B79" s="5" t="inlineStr">
        <is>
          <t>減:累計攤折-無形資產</t>
        </is>
      </c>
      <c r="C79" s="5" t="inlineStr">
        <is>
          <t>貸</t>
        </is>
      </c>
      <c r="D79" s="5" t="inlineStr">
        <is>
          <t>資產</t>
        </is>
      </c>
    </row>
    <row r="80">
      <c r="A80" s="5" t="inlineStr">
        <is>
          <t>1512</t>
        </is>
      </c>
      <c r="B80" s="5" t="inlineStr">
        <is>
          <t>減:累計減損-無形資產</t>
        </is>
      </c>
      <c r="C80" s="5" t="inlineStr">
        <is>
          <t>貸</t>
        </is>
      </c>
      <c r="D80" s="5" t="inlineStr">
        <is>
          <t>資產</t>
        </is>
      </c>
    </row>
    <row r="81">
      <c r="A81" s="5" t="inlineStr">
        <is>
          <t>1901</t>
        </is>
      </c>
      <c r="B81" s="5" t="inlineStr">
        <is>
          <t>存出保證金</t>
        </is>
      </c>
      <c r="C81" s="5" t="inlineStr">
        <is>
          <t>借</t>
        </is>
      </c>
      <c r="D81" s="5" t="inlineStr">
        <is>
          <t>資產</t>
        </is>
      </c>
    </row>
    <row r="82">
      <c r="A82" s="5" t="inlineStr">
        <is>
          <t>1902</t>
        </is>
      </c>
      <c r="B82" s="5" t="inlineStr">
        <is>
          <t>未攤銷費用</t>
        </is>
      </c>
      <c r="C82" s="5" t="inlineStr">
        <is>
          <t>借</t>
        </is>
      </c>
      <c r="D82" s="5" t="inlineStr">
        <is>
          <t>資產</t>
        </is>
      </c>
    </row>
    <row r="83">
      <c r="A83" s="5" t="inlineStr">
        <is>
          <t>1903</t>
        </is>
      </c>
      <c r="B83" s="5" t="inlineStr">
        <is>
          <t>預付設備款</t>
        </is>
      </c>
      <c r="C83" s="5" t="inlineStr">
        <is>
          <t>借</t>
        </is>
      </c>
      <c r="D83" s="5" t="inlineStr">
        <is>
          <t>資產</t>
        </is>
      </c>
    </row>
    <row r="84">
      <c r="A84" s="5" t="inlineStr">
        <is>
          <t>1904</t>
        </is>
      </c>
      <c r="B84" s="5" t="inlineStr">
        <is>
          <t>其他非流動資產-其他</t>
        </is>
      </c>
      <c r="C84" s="5" t="inlineStr">
        <is>
          <t>借</t>
        </is>
      </c>
      <c r="D84" s="5" t="inlineStr">
        <is>
          <t>資產</t>
        </is>
      </c>
    </row>
    <row r="85">
      <c r="A85" s="5" t="inlineStr">
        <is>
          <t>2111</t>
        </is>
      </c>
      <c r="B85" s="5" t="inlineStr">
        <is>
          <t>銀行透支</t>
        </is>
      </c>
      <c r="C85" s="5" t="inlineStr">
        <is>
          <t>貸</t>
        </is>
      </c>
      <c r="D85" s="5" t="inlineStr">
        <is>
          <t>負債</t>
        </is>
      </c>
    </row>
    <row r="86">
      <c r="A86" s="5" t="inlineStr">
        <is>
          <t>2112</t>
        </is>
      </c>
      <c r="B86" s="5" t="inlineStr">
        <is>
          <t>銀行借款</t>
        </is>
      </c>
      <c r="C86" s="5" t="inlineStr">
        <is>
          <t>貸</t>
        </is>
      </c>
      <c r="D86" s="5" t="inlineStr">
        <is>
          <t>負債</t>
        </is>
      </c>
    </row>
    <row r="87">
      <c r="A87" s="5" t="inlineStr">
        <is>
          <t>2113</t>
        </is>
      </c>
      <c r="B87" s="5" t="inlineStr">
        <is>
          <t>應付短期票券</t>
        </is>
      </c>
      <c r="C87" s="5" t="inlineStr">
        <is>
          <t>貸</t>
        </is>
      </c>
      <c r="D87" s="5" t="inlineStr">
        <is>
          <t>負債</t>
        </is>
      </c>
    </row>
    <row r="88">
      <c r="A88" s="5" t="inlineStr">
        <is>
          <t>2119</t>
        </is>
      </c>
      <c r="B88" s="5" t="inlineStr">
        <is>
          <t>其他短期借款</t>
        </is>
      </c>
      <c r="C88" s="5" t="inlineStr">
        <is>
          <t>貸</t>
        </is>
      </c>
      <c r="D88" s="5" t="inlineStr">
        <is>
          <t>負債</t>
        </is>
      </c>
    </row>
    <row r="89">
      <c r="A89" s="5" t="inlineStr">
        <is>
          <t>2140</t>
        </is>
      </c>
      <c r="B89" s="5" t="inlineStr">
        <is>
          <t>透過損益按公允價值衡量之金融負債-流動</t>
        </is>
      </c>
      <c r="C89" s="5" t="inlineStr">
        <is>
          <t>貸</t>
        </is>
      </c>
      <c r="D89" s="5" t="inlineStr">
        <is>
          <t>負債</t>
        </is>
      </c>
    </row>
    <row r="90">
      <c r="A90" s="5" t="inlineStr">
        <is>
          <t>2150</t>
        </is>
      </c>
      <c r="B90" s="5" t="inlineStr">
        <is>
          <t>避險之金融負債-流動</t>
        </is>
      </c>
      <c r="C90" s="5" t="inlineStr">
        <is>
          <t>貸</t>
        </is>
      </c>
      <c r="D90" s="5" t="inlineStr">
        <is>
          <t>負債</t>
        </is>
      </c>
    </row>
    <row r="91">
      <c r="A91" s="5" t="inlineStr">
        <is>
          <t>2170</t>
        </is>
      </c>
      <c r="B91" s="5" t="inlineStr">
        <is>
          <t>特別股負債-流動</t>
        </is>
      </c>
      <c r="C91" s="5" t="inlineStr">
        <is>
          <t>貸</t>
        </is>
      </c>
      <c r="D91" s="5" t="inlineStr">
        <is>
          <t>負債</t>
        </is>
      </c>
    </row>
    <row r="92">
      <c r="A92" s="5" t="inlineStr">
        <is>
          <t>2180</t>
        </is>
      </c>
      <c r="B92" s="5" t="inlineStr">
        <is>
          <t>其他金融負債-流動</t>
        </is>
      </c>
      <c r="C92" s="5" t="inlineStr">
        <is>
          <t>貸</t>
        </is>
      </c>
      <c r="D92" s="5" t="inlineStr">
        <is>
          <t>負債</t>
        </is>
      </c>
    </row>
    <row r="93">
      <c r="A93" s="5" t="inlineStr">
        <is>
          <t>2126</t>
        </is>
      </c>
      <c r="B93" s="5" t="inlineStr">
        <is>
          <t>合約負債-流動</t>
        </is>
      </c>
      <c r="C93" s="5" t="inlineStr">
        <is>
          <t>貸</t>
        </is>
      </c>
      <c r="D93" s="5" t="inlineStr">
        <is>
          <t>負債</t>
        </is>
      </c>
    </row>
    <row r="94">
      <c r="A94" s="5" t="inlineStr">
        <is>
          <t>2120</t>
        </is>
      </c>
      <c r="B94" s="5" t="inlineStr">
        <is>
          <t>應付票據</t>
        </is>
      </c>
      <c r="C94" s="5" t="inlineStr">
        <is>
          <t>貸</t>
        </is>
      </c>
      <c r="D94" s="5" t="inlineStr">
        <is>
          <t>負債</t>
        </is>
      </c>
    </row>
    <row r="95">
      <c r="A95" s="5" t="inlineStr">
        <is>
          <t>2121</t>
        </is>
      </c>
      <c r="B95" s="5" t="inlineStr">
        <is>
          <t>應付帳款</t>
        </is>
      </c>
      <c r="C95" s="5" t="inlineStr">
        <is>
          <t>貸</t>
        </is>
      </c>
      <c r="D95" s="5" t="inlineStr">
        <is>
          <t>負債</t>
        </is>
      </c>
    </row>
    <row r="96">
      <c r="A96" s="5" t="inlineStr">
        <is>
          <t>2131</t>
        </is>
      </c>
      <c r="B96" s="5" t="inlineStr">
        <is>
          <t>應付費用</t>
        </is>
      </c>
      <c r="C96" s="5" t="inlineStr">
        <is>
          <t>貸</t>
        </is>
      </c>
      <c r="D96" s="5" t="inlineStr">
        <is>
          <t>負債</t>
        </is>
      </c>
    </row>
    <row r="97">
      <c r="A97" s="5" t="inlineStr">
        <is>
          <t>2132</t>
        </is>
      </c>
      <c r="B97" s="5" t="inlineStr">
        <is>
          <t>應付稅捐</t>
        </is>
      </c>
      <c r="C97" s="5" t="inlineStr">
        <is>
          <t>貸</t>
        </is>
      </c>
      <c r="D97" s="5" t="inlineStr">
        <is>
          <t>負債</t>
        </is>
      </c>
    </row>
    <row r="98">
      <c r="A98" s="5" t="inlineStr">
        <is>
          <t>2133</t>
        </is>
      </c>
      <c r="B98" s="5" t="inlineStr">
        <is>
          <t>應付股利</t>
        </is>
      </c>
      <c r="C98" s="5" t="inlineStr">
        <is>
          <t>貸</t>
        </is>
      </c>
      <c r="D98" s="5" t="inlineStr">
        <is>
          <t>負債</t>
        </is>
      </c>
    </row>
    <row r="99">
      <c r="A99" s="5" t="inlineStr">
        <is>
          <t>2134</t>
        </is>
      </c>
      <c r="B99" s="5" t="inlineStr">
        <is>
          <t>銷項稅額</t>
        </is>
      </c>
      <c r="C99" s="5" t="inlineStr">
        <is>
          <t>貸</t>
        </is>
      </c>
      <c r="D99" s="5" t="inlineStr">
        <is>
          <t>負債</t>
        </is>
      </c>
    </row>
    <row r="100">
      <c r="A100" s="5" t="inlineStr">
        <is>
          <t>2135</t>
        </is>
      </c>
      <c r="B100" s="5" t="inlineStr">
        <is>
          <t>其他應付款-其他</t>
        </is>
      </c>
      <c r="C100" s="5" t="inlineStr">
        <is>
          <t>貸</t>
        </is>
      </c>
      <c r="D100" s="5" t="inlineStr">
        <is>
          <t>負債</t>
        </is>
      </c>
    </row>
    <row r="101">
      <c r="A101" s="5" t="inlineStr">
        <is>
          <t>2137</t>
        </is>
      </c>
      <c r="B101" s="5" t="inlineStr">
        <is>
          <t>預收貨款</t>
        </is>
      </c>
      <c r="C101" s="5" t="inlineStr">
        <is>
          <t>貸</t>
        </is>
      </c>
      <c r="D101" s="5" t="inlineStr">
        <is>
          <t>負債</t>
        </is>
      </c>
    </row>
    <row r="102">
      <c r="A102" s="5" t="inlineStr">
        <is>
          <t>2138</t>
        </is>
      </c>
      <c r="B102" s="5" t="inlineStr">
        <is>
          <t>其他預收款</t>
        </is>
      </c>
      <c r="C102" s="5" t="inlineStr">
        <is>
          <t>貸</t>
        </is>
      </c>
      <c r="D102" s="5" t="inlineStr">
        <is>
          <t>負債</t>
        </is>
      </c>
    </row>
    <row r="103">
      <c r="A103" s="5" t="inlineStr">
        <is>
          <t>2191</t>
        </is>
      </c>
      <c r="B103" s="5" t="inlineStr">
        <is>
          <t>暫收款</t>
        </is>
      </c>
      <c r="C103" s="5" t="inlineStr">
        <is>
          <t>貸</t>
        </is>
      </c>
      <c r="D103" s="5" t="inlineStr">
        <is>
          <t>負債</t>
        </is>
      </c>
    </row>
    <row r="104">
      <c r="A104" s="5" t="inlineStr">
        <is>
          <t>2192</t>
        </is>
      </c>
      <c r="B104" s="5" t="inlineStr">
        <is>
          <t>股東往來</t>
        </is>
      </c>
      <c r="C104" s="5" t="inlineStr">
        <is>
          <t>貸</t>
        </is>
      </c>
      <c r="D104" s="5" t="inlineStr">
        <is>
          <t>負債</t>
        </is>
      </c>
    </row>
    <row r="105">
      <c r="A105" s="5" t="inlineStr">
        <is>
          <t>2195</t>
        </is>
      </c>
      <c r="B105" s="5" t="inlineStr">
        <is>
          <t>代收款</t>
        </is>
      </c>
      <c r="C105" s="5" t="inlineStr">
        <is>
          <t>貸</t>
        </is>
      </c>
      <c r="D105" s="5" t="inlineStr">
        <is>
          <t>負債</t>
        </is>
      </c>
    </row>
    <row r="106">
      <c r="A106" s="5" t="inlineStr">
        <is>
          <t>21951</t>
        </is>
      </c>
      <c r="B106" s="5" t="inlineStr">
        <is>
          <t>代收款-健保費</t>
        </is>
      </c>
      <c r="C106" s="5" t="inlineStr">
        <is>
          <t>貸</t>
        </is>
      </c>
      <c r="D106" s="5" t="inlineStr">
        <is>
          <t>負債</t>
        </is>
      </c>
    </row>
    <row r="107">
      <c r="A107" s="5" t="inlineStr">
        <is>
          <t>21952</t>
        </is>
      </c>
      <c r="B107" s="5" t="inlineStr">
        <is>
          <t>代收款-勞保費</t>
        </is>
      </c>
      <c r="C107" s="5" t="inlineStr">
        <is>
          <t>貸</t>
        </is>
      </c>
      <c r="D107" s="5" t="inlineStr">
        <is>
          <t>負債</t>
        </is>
      </c>
    </row>
    <row r="108">
      <c r="A108" s="5" t="inlineStr">
        <is>
          <t>21953</t>
        </is>
      </c>
      <c r="B108" s="5" t="inlineStr">
        <is>
          <t>代收款-扣繳稅款</t>
        </is>
      </c>
      <c r="C108" s="5" t="inlineStr">
        <is>
          <t>貸</t>
        </is>
      </c>
      <c r="D108" s="5" t="inlineStr">
        <is>
          <t>負債</t>
        </is>
      </c>
    </row>
    <row r="109">
      <c r="A109" s="5" t="inlineStr">
        <is>
          <t>2196</t>
        </is>
      </c>
      <c r="B109" s="5" t="inlineStr">
        <is>
          <t>其他流動負債-其他</t>
        </is>
      </c>
      <c r="C109" s="5" t="inlineStr">
        <is>
          <t>貸</t>
        </is>
      </c>
      <c r="D109" s="5" t="inlineStr">
        <is>
          <t>負債</t>
        </is>
      </c>
    </row>
    <row r="110">
      <c r="A110" s="5" t="inlineStr">
        <is>
          <t>2210</t>
        </is>
      </c>
      <c r="B110" s="5" t="inlineStr">
        <is>
          <t>應付公司債</t>
        </is>
      </c>
      <c r="C110" s="5" t="inlineStr">
        <is>
          <t>貸</t>
        </is>
      </c>
      <c r="D110" s="5" t="inlineStr">
        <is>
          <t>負債</t>
        </is>
      </c>
    </row>
    <row r="111">
      <c r="A111" s="5" t="inlineStr">
        <is>
          <t>2220</t>
        </is>
      </c>
      <c r="B111" s="5" t="inlineStr">
        <is>
          <t>長期借款</t>
        </is>
      </c>
      <c r="C111" s="5" t="inlineStr">
        <is>
          <t>貸</t>
        </is>
      </c>
      <c r="D111" s="5" t="inlineStr">
        <is>
          <t>負債</t>
        </is>
      </c>
    </row>
    <row r="112">
      <c r="A112" s="5" t="inlineStr">
        <is>
          <t>2230</t>
        </is>
      </c>
      <c r="B112" s="5" t="inlineStr">
        <is>
          <t>透過損益按公允價值衡量之金融負債-非流動</t>
        </is>
      </c>
      <c r="C112" s="5" t="inlineStr">
        <is>
          <t>貸</t>
        </is>
      </c>
      <c r="D112" s="5" t="inlineStr">
        <is>
          <t>負債</t>
        </is>
      </c>
    </row>
    <row r="113">
      <c r="A113" s="5" t="inlineStr">
        <is>
          <t>2240</t>
        </is>
      </c>
      <c r="B113" s="5" t="inlineStr">
        <is>
          <t>避險之金融負債-非流動</t>
        </is>
      </c>
      <c r="C113" s="5" t="inlineStr">
        <is>
          <t>貸</t>
        </is>
      </c>
      <c r="D113" s="5" t="inlineStr">
        <is>
          <t>負債</t>
        </is>
      </c>
    </row>
    <row r="114">
      <c r="A114" s="5" t="inlineStr">
        <is>
          <t>2260</t>
        </is>
      </c>
      <c r="B114" s="5" t="inlineStr">
        <is>
          <t>特別股負債-非流動</t>
        </is>
      </c>
      <c r="C114" s="5" t="inlineStr">
        <is>
          <t>貸</t>
        </is>
      </c>
      <c r="D114" s="5" t="inlineStr">
        <is>
          <t>負債</t>
        </is>
      </c>
    </row>
    <row r="115">
      <c r="A115" s="5" t="inlineStr">
        <is>
          <t>2270</t>
        </is>
      </c>
      <c r="B115" s="5" t="inlineStr">
        <is>
          <t>其他金融負債-非流動</t>
        </is>
      </c>
      <c r="C115" s="5" t="inlineStr">
        <is>
          <t>貸</t>
        </is>
      </c>
      <c r="D115" s="5" t="inlineStr">
        <is>
          <t>負債</t>
        </is>
      </c>
    </row>
    <row r="116">
      <c r="A116" s="5" t="inlineStr">
        <is>
          <t>2280</t>
        </is>
      </c>
      <c r="B116" s="5" t="inlineStr">
        <is>
          <t>長期應付票據及款項</t>
        </is>
      </c>
      <c r="C116" s="5" t="inlineStr">
        <is>
          <t>貸</t>
        </is>
      </c>
      <c r="D116" s="5" t="inlineStr">
        <is>
          <t>負債</t>
        </is>
      </c>
    </row>
    <row r="117">
      <c r="A117" s="5" t="inlineStr">
        <is>
          <t>2281</t>
        </is>
      </c>
      <c r="B117" s="5" t="inlineStr">
        <is>
          <t>合約負債-非流動</t>
        </is>
      </c>
      <c r="C117" s="5" t="inlineStr">
        <is>
          <t>貸</t>
        </is>
      </c>
      <c r="D117" s="5" t="inlineStr">
        <is>
          <t>負債</t>
        </is>
      </c>
    </row>
    <row r="118">
      <c r="A118" s="5" t="inlineStr">
        <is>
          <t>2290</t>
        </is>
      </c>
      <c r="B118" s="5" t="inlineStr">
        <is>
          <t>其他長期負債</t>
        </is>
      </c>
      <c r="C118" s="5" t="inlineStr">
        <is>
          <t>貸</t>
        </is>
      </c>
      <c r="D118" s="5" t="inlineStr">
        <is>
          <t>負債</t>
        </is>
      </c>
    </row>
    <row r="119">
      <c r="A119" s="5" t="inlineStr">
        <is>
          <t>2910</t>
        </is>
      </c>
      <c r="B119" s="5" t="inlineStr">
        <is>
          <t>存入保證金</t>
        </is>
      </c>
      <c r="C119" s="5" t="inlineStr">
        <is>
          <t>貸</t>
        </is>
      </c>
      <c r="D119" s="5" t="inlineStr">
        <is>
          <t>負債</t>
        </is>
      </c>
    </row>
    <row r="120">
      <c r="A120" s="5" t="inlineStr">
        <is>
          <t>2940</t>
        </is>
      </c>
      <c r="B120" s="5" t="inlineStr">
        <is>
          <t>退休金準備</t>
        </is>
      </c>
      <c r="C120" s="5" t="inlineStr">
        <is>
          <t>貸</t>
        </is>
      </c>
      <c r="D120" s="5" t="inlineStr">
        <is>
          <t>負債</t>
        </is>
      </c>
    </row>
    <row r="121">
      <c r="A121" s="5" t="inlineStr">
        <is>
          <t>2951</t>
        </is>
      </c>
      <c r="B121" s="5" t="inlineStr">
        <is>
          <t>國外投資損失準備</t>
        </is>
      </c>
      <c r="C121" s="5" t="inlineStr">
        <is>
          <t>貸</t>
        </is>
      </c>
      <c r="D121" s="5" t="inlineStr">
        <is>
          <t>負債</t>
        </is>
      </c>
    </row>
    <row r="122">
      <c r="A122" s="5" t="inlineStr">
        <is>
          <t>2970</t>
        </is>
      </c>
      <c r="B122" s="5" t="inlineStr">
        <is>
          <t>受託承銷品</t>
        </is>
      </c>
      <c r="C122" s="5" t="inlineStr">
        <is>
          <t>貸</t>
        </is>
      </c>
      <c r="D122" s="5" t="inlineStr">
        <is>
          <t>負債</t>
        </is>
      </c>
    </row>
    <row r="123">
      <c r="A123" s="5" t="inlineStr">
        <is>
          <t>2999</t>
        </is>
      </c>
      <c r="B123" s="5" t="inlineStr">
        <is>
          <t>其他非流動負債-其他</t>
        </is>
      </c>
      <c r="C123" s="5" t="inlineStr">
        <is>
          <t>貸</t>
        </is>
      </c>
      <c r="D123" s="5" t="inlineStr">
        <is>
          <t>負債</t>
        </is>
      </c>
    </row>
    <row r="124">
      <c r="A124" s="5" t="inlineStr">
        <is>
          <t>3110</t>
        </is>
      </c>
      <c r="B124" s="5" t="inlineStr">
        <is>
          <t>實收資本</t>
        </is>
      </c>
      <c r="C124" s="5" t="inlineStr">
        <is>
          <t>貸</t>
        </is>
      </c>
      <c r="D124" s="5" t="inlineStr">
        <is>
          <t>權益</t>
        </is>
      </c>
    </row>
    <row r="125">
      <c r="A125" s="5" t="inlineStr">
        <is>
          <t>3330</t>
        </is>
      </c>
      <c r="B125" s="5" t="inlineStr">
        <is>
          <t>資本公積</t>
        </is>
      </c>
      <c r="C125" s="5" t="inlineStr">
        <is>
          <t>貸</t>
        </is>
      </c>
      <c r="D125" s="5" t="inlineStr">
        <is>
          <t>權益</t>
        </is>
      </c>
    </row>
    <row r="126">
      <c r="A126" s="5" t="inlineStr">
        <is>
          <t>3410</t>
        </is>
      </c>
      <c r="B126" s="5" t="inlineStr">
        <is>
          <t>法定盈餘公積</t>
        </is>
      </c>
      <c r="C126" s="5" t="inlineStr">
        <is>
          <t>貸</t>
        </is>
      </c>
      <c r="D126" s="5" t="inlineStr">
        <is>
          <t>權益</t>
        </is>
      </c>
    </row>
    <row r="127">
      <c r="A127" s="5" t="inlineStr">
        <is>
          <t>3420</t>
        </is>
      </c>
      <c r="B127" s="5" t="inlineStr">
        <is>
          <t>特別盈餘公積</t>
        </is>
      </c>
      <c r="C127" s="5" t="inlineStr">
        <is>
          <t>貸</t>
        </is>
      </c>
      <c r="D127" s="5" t="inlineStr">
        <is>
          <t>權益</t>
        </is>
      </c>
    </row>
    <row r="128">
      <c r="A128" s="5" t="inlineStr">
        <is>
          <t>3430</t>
        </is>
      </c>
      <c r="B128" s="5" t="inlineStr">
        <is>
          <t>累積盈虧</t>
        </is>
      </c>
      <c r="C128" s="5" t="inlineStr">
        <is>
          <t>貸</t>
        </is>
      </c>
      <c r="D128" s="5" t="inlineStr">
        <is>
          <t>權益</t>
        </is>
      </c>
    </row>
    <row r="129">
      <c r="A129" s="5" t="inlineStr">
        <is>
          <t>3434</t>
        </is>
      </c>
      <c r="B129" s="5" t="inlineStr">
        <is>
          <t>追溯適用及追溯重編之影響數</t>
        </is>
      </c>
      <c r="C129" s="5" t="inlineStr">
        <is>
          <t>貸</t>
        </is>
      </c>
      <c r="D129" s="5" t="inlineStr">
        <is>
          <t>權益</t>
        </is>
      </c>
    </row>
    <row r="130">
      <c r="A130" s="5" t="inlineStr">
        <is>
          <t>3435</t>
        </is>
      </c>
      <c r="B130" s="5" t="inlineStr">
        <is>
          <t>本年度其他綜合損益轉入之稅後淨額</t>
        </is>
      </c>
      <c r="C130" s="5" t="inlineStr">
        <is>
          <t>貸</t>
        </is>
      </c>
      <c r="D130" s="5" t="inlineStr">
        <is>
          <t>權益</t>
        </is>
      </c>
    </row>
    <row r="131">
      <c r="A131" s="5" t="inlineStr">
        <is>
          <t>3440</t>
        </is>
      </c>
      <c r="B131" s="5" t="inlineStr">
        <is>
          <t>本期損益　　(結算科目，請勿複製)</t>
        </is>
      </c>
      <c r="C131" s="5" t="inlineStr">
        <is>
          <t>貸</t>
        </is>
      </c>
      <c r="D131" s="5" t="inlineStr">
        <is>
          <t>權益</t>
        </is>
      </c>
    </row>
    <row r="132">
      <c r="A132" s="5" t="inlineStr">
        <is>
          <t>3502</t>
        </is>
      </c>
      <c r="B132" s="5" t="inlineStr">
        <is>
          <t>避險中屬有效避險部分之避險工具損益</t>
        </is>
      </c>
      <c r="C132" s="5" t="inlineStr">
        <is>
          <t>貸</t>
        </is>
      </c>
      <c r="D132" s="5" t="inlineStr">
        <is>
          <t>權益</t>
        </is>
      </c>
    </row>
    <row r="133">
      <c r="A133" s="5" t="inlineStr">
        <is>
          <t>3503</t>
        </is>
      </c>
      <c r="B133" s="5" t="inlineStr">
        <is>
          <t>國外營運機構財務報表換算之兌換差額</t>
        </is>
      </c>
      <c r="C133" s="5" t="inlineStr">
        <is>
          <t>貸</t>
        </is>
      </c>
      <c r="D133" s="5" t="inlineStr">
        <is>
          <t>權益</t>
        </is>
      </c>
    </row>
    <row r="134">
      <c r="A134" s="5" t="inlineStr">
        <is>
          <t>3504</t>
        </is>
      </c>
      <c r="B134" s="5" t="inlineStr">
        <is>
          <t>未實現重估增值</t>
        </is>
      </c>
      <c r="C134" s="5" t="inlineStr">
        <is>
          <t>貸</t>
        </is>
      </c>
      <c r="D134" s="5" t="inlineStr">
        <is>
          <t>權益</t>
        </is>
      </c>
    </row>
    <row r="135">
      <c r="A135" s="5" t="inlineStr">
        <is>
          <t>3505</t>
        </is>
      </c>
      <c r="B135" s="5" t="inlineStr">
        <is>
          <t>確定福利計畫再衡量數</t>
        </is>
      </c>
      <c r="C135" s="5" t="inlineStr">
        <is>
          <t>貸</t>
        </is>
      </c>
      <c r="D135" s="5" t="inlineStr">
        <is>
          <t>權益</t>
        </is>
      </c>
    </row>
    <row r="136">
      <c r="A136" s="5" t="inlineStr">
        <is>
          <t>3507</t>
        </is>
      </c>
      <c r="B136" s="5" t="inlineStr">
        <is>
          <t>透過其他綜合損益按公允價值衡量之未實現損益</t>
        </is>
      </c>
      <c r="C136" s="5" t="inlineStr">
        <is>
          <t>貸</t>
        </is>
      </c>
      <c r="D136" s="5" t="inlineStr">
        <is>
          <t>權益</t>
        </is>
      </c>
    </row>
    <row r="137">
      <c r="A137" s="5" t="inlineStr">
        <is>
          <t>3506</t>
        </is>
      </c>
      <c r="B137" s="5" t="inlineStr">
        <is>
          <t>其他權益-其他</t>
        </is>
      </c>
      <c r="C137" s="5" t="inlineStr">
        <is>
          <t>貸</t>
        </is>
      </c>
      <c r="D137" s="5" t="inlineStr">
        <is>
          <t>權益</t>
        </is>
      </c>
    </row>
    <row r="138">
      <c r="A138" s="5" t="inlineStr">
        <is>
          <t>3600</t>
        </is>
      </c>
      <c r="B138" s="5" t="inlineStr">
        <is>
          <t>減:庫藏股票</t>
        </is>
      </c>
      <c r="C138" s="5" t="inlineStr">
        <is>
          <t>借</t>
        </is>
      </c>
      <c r="D138" s="5" t="inlineStr">
        <is>
          <t>權益</t>
        </is>
      </c>
    </row>
    <row r="139">
      <c r="A139" s="5" t="inlineStr">
        <is>
          <t>4100</t>
        </is>
      </c>
      <c r="B139" s="5" t="inlineStr">
        <is>
          <t>銷貨收入</t>
        </is>
      </c>
      <c r="C139" s="5" t="inlineStr">
        <is>
          <t>貸</t>
        </is>
      </c>
      <c r="D139" s="5" t="inlineStr">
        <is>
          <t>收入</t>
        </is>
      </c>
    </row>
    <row r="140">
      <c r="A140" s="5" t="inlineStr">
        <is>
          <t>4110</t>
        </is>
      </c>
      <c r="B140" s="5" t="inlineStr">
        <is>
          <t>減:銷貨退回</t>
        </is>
      </c>
      <c r="C140" s="5" t="inlineStr">
        <is>
          <t>借</t>
        </is>
      </c>
      <c r="D140" s="5" t="inlineStr">
        <is>
          <t>收入</t>
        </is>
      </c>
    </row>
    <row r="141">
      <c r="A141" s="5" t="inlineStr">
        <is>
          <t>4120</t>
        </is>
      </c>
      <c r="B141" s="5" t="inlineStr">
        <is>
          <t>減:銷貨折讓</t>
        </is>
      </c>
      <c r="C141" s="5" t="inlineStr">
        <is>
          <t>借</t>
        </is>
      </c>
      <c r="D141" s="5" t="inlineStr">
        <is>
          <t>收入</t>
        </is>
      </c>
    </row>
    <row r="142">
      <c r="A142" s="5" t="inlineStr">
        <is>
          <t>4200</t>
        </is>
      </c>
      <c r="B142" s="5" t="inlineStr">
        <is>
          <t>勞務收入</t>
        </is>
      </c>
      <c r="C142" s="5" t="inlineStr">
        <is>
          <t>貸</t>
        </is>
      </c>
      <c r="D142" s="5" t="inlineStr">
        <is>
          <t>收入</t>
        </is>
      </c>
    </row>
    <row r="143">
      <c r="A143" s="5" t="inlineStr">
        <is>
          <t>4300</t>
        </is>
      </c>
      <c r="B143" s="5" t="inlineStr">
        <is>
          <t>加工收入</t>
        </is>
      </c>
      <c r="C143" s="5" t="inlineStr">
        <is>
          <t>貸</t>
        </is>
      </c>
      <c r="D143" s="5" t="inlineStr">
        <is>
          <t>收入</t>
        </is>
      </c>
    </row>
    <row r="144">
      <c r="A144" s="5" t="inlineStr">
        <is>
          <t>4400</t>
        </is>
      </c>
      <c r="B144" s="5" t="inlineStr">
        <is>
          <t>工程收入</t>
        </is>
      </c>
      <c r="C144" s="5" t="inlineStr">
        <is>
          <t>貸</t>
        </is>
      </c>
      <c r="D144" s="5" t="inlineStr">
        <is>
          <t>收入</t>
        </is>
      </c>
    </row>
    <row r="145">
      <c r="A145" s="5" t="inlineStr">
        <is>
          <t>5100</t>
        </is>
      </c>
      <c r="B145" s="5" t="inlineStr">
        <is>
          <t>銷貨成本</t>
        </is>
      </c>
      <c r="C145" s="5" t="inlineStr">
        <is>
          <t>借</t>
        </is>
      </c>
      <c r="D145" s="5" t="inlineStr">
        <is>
          <t>銷貨成本</t>
        </is>
      </c>
    </row>
    <row r="146">
      <c r="A146" s="5" t="inlineStr">
        <is>
          <t>5200</t>
        </is>
      </c>
      <c r="B146" s="5" t="inlineStr">
        <is>
          <t>勞務成本</t>
        </is>
      </c>
      <c r="C146" s="5" t="inlineStr">
        <is>
          <t>借</t>
        </is>
      </c>
      <c r="D146" s="5" t="inlineStr">
        <is>
          <t>銷貨成本</t>
        </is>
      </c>
    </row>
    <row r="147">
      <c r="A147" s="5" t="inlineStr">
        <is>
          <t>5300</t>
        </is>
      </c>
      <c r="B147" s="5" t="inlineStr">
        <is>
          <t>加工成本</t>
        </is>
      </c>
      <c r="C147" s="5" t="inlineStr">
        <is>
          <t>借</t>
        </is>
      </c>
      <c r="D147" s="5" t="inlineStr">
        <is>
          <t>銷貨成本</t>
        </is>
      </c>
    </row>
    <row r="148">
      <c r="A148" s="5" t="inlineStr">
        <is>
          <t>5400</t>
        </is>
      </c>
      <c r="B148" s="5" t="inlineStr">
        <is>
          <t>工程成本</t>
        </is>
      </c>
      <c r="C148" s="5" t="inlineStr">
        <is>
          <t>借</t>
        </is>
      </c>
      <c r="D148" s="5" t="inlineStr">
        <is>
          <t>銷貨成本</t>
        </is>
      </c>
    </row>
    <row r="149">
      <c r="A149" s="5" t="inlineStr">
        <is>
          <t>6010</t>
        </is>
      </c>
      <c r="B149" s="5" t="inlineStr">
        <is>
          <t>薪資支出</t>
        </is>
      </c>
      <c r="C149" s="5" t="inlineStr">
        <is>
          <t>借</t>
        </is>
      </c>
      <c r="D149" s="5" t="inlineStr">
        <is>
          <t>費用</t>
        </is>
      </c>
    </row>
    <row r="150">
      <c r="A150" s="5" t="inlineStr">
        <is>
          <t>6020</t>
        </is>
      </c>
      <c r="B150" s="5" t="inlineStr">
        <is>
          <t>租金支出</t>
        </is>
      </c>
      <c r="C150" s="5" t="inlineStr">
        <is>
          <t>借</t>
        </is>
      </c>
      <c r="D150" s="5" t="inlineStr">
        <is>
          <t>費用</t>
        </is>
      </c>
    </row>
    <row r="151">
      <c r="A151" s="5" t="inlineStr">
        <is>
          <t>6030</t>
        </is>
      </c>
      <c r="B151" s="5" t="inlineStr">
        <is>
          <t>文具用品</t>
        </is>
      </c>
      <c r="C151" s="5" t="inlineStr">
        <is>
          <t>借</t>
        </is>
      </c>
      <c r="D151" s="5" t="inlineStr">
        <is>
          <t>費用</t>
        </is>
      </c>
    </row>
    <row r="152">
      <c r="A152" s="5" t="inlineStr">
        <is>
          <t>6040</t>
        </is>
      </c>
      <c r="B152" s="5" t="inlineStr">
        <is>
          <t>旅費</t>
        </is>
      </c>
      <c r="C152" s="5" t="inlineStr">
        <is>
          <t>借</t>
        </is>
      </c>
      <c r="D152" s="5" t="inlineStr">
        <is>
          <t>費用</t>
        </is>
      </c>
    </row>
    <row r="153">
      <c r="A153" s="5" t="inlineStr">
        <is>
          <t>6050</t>
        </is>
      </c>
      <c r="B153" s="5" t="inlineStr">
        <is>
          <t>運費</t>
        </is>
      </c>
      <c r="C153" s="5" t="inlineStr">
        <is>
          <t>借</t>
        </is>
      </c>
      <c r="D153" s="5" t="inlineStr">
        <is>
          <t>費用</t>
        </is>
      </c>
    </row>
    <row r="154">
      <c r="A154" s="5" t="inlineStr">
        <is>
          <t>6060</t>
        </is>
      </c>
      <c r="B154" s="5" t="inlineStr">
        <is>
          <t>郵電費</t>
        </is>
      </c>
      <c r="C154" s="5" t="inlineStr">
        <is>
          <t>借</t>
        </is>
      </c>
      <c r="D154" s="5" t="inlineStr">
        <is>
          <t>費用</t>
        </is>
      </c>
    </row>
    <row r="155">
      <c r="A155" s="5" t="inlineStr">
        <is>
          <t>6070</t>
        </is>
      </c>
      <c r="B155" s="5" t="inlineStr">
        <is>
          <t>修繕費</t>
        </is>
      </c>
      <c r="C155" s="5" t="inlineStr">
        <is>
          <t>借</t>
        </is>
      </c>
      <c r="D155" s="5" t="inlineStr">
        <is>
          <t>費用</t>
        </is>
      </c>
    </row>
    <row r="156">
      <c r="A156" s="5" t="inlineStr">
        <is>
          <t>6080</t>
        </is>
      </c>
      <c r="B156" s="5" t="inlineStr">
        <is>
          <t>廣告費</t>
        </is>
      </c>
      <c r="C156" s="5" t="inlineStr">
        <is>
          <t>借</t>
        </is>
      </c>
      <c r="D156" s="5" t="inlineStr">
        <is>
          <t>費用</t>
        </is>
      </c>
    </row>
    <row r="157">
      <c r="A157" s="5" t="inlineStr">
        <is>
          <t>6090</t>
        </is>
      </c>
      <c r="B157" s="5" t="inlineStr">
        <is>
          <t>水電瓦斯費</t>
        </is>
      </c>
      <c r="C157" s="5" t="inlineStr">
        <is>
          <t>借</t>
        </is>
      </c>
      <c r="D157" s="5" t="inlineStr">
        <is>
          <t>費用</t>
        </is>
      </c>
    </row>
    <row r="158">
      <c r="A158" s="5" t="inlineStr">
        <is>
          <t>6100</t>
        </is>
      </c>
      <c r="B158" s="5" t="inlineStr">
        <is>
          <t>保險費</t>
        </is>
      </c>
      <c r="C158" s="5" t="inlineStr">
        <is>
          <t>借</t>
        </is>
      </c>
      <c r="D158" s="5" t="inlineStr">
        <is>
          <t>費用</t>
        </is>
      </c>
    </row>
    <row r="159">
      <c r="A159" s="5" t="inlineStr">
        <is>
          <t>6110</t>
        </is>
      </c>
      <c r="B159" s="5" t="inlineStr">
        <is>
          <t>交際費</t>
        </is>
      </c>
      <c r="C159" s="5" t="inlineStr">
        <is>
          <t>借</t>
        </is>
      </c>
      <c r="D159" s="5" t="inlineStr">
        <is>
          <t>費用</t>
        </is>
      </c>
    </row>
    <row r="160">
      <c r="A160" s="5" t="inlineStr">
        <is>
          <t>6120</t>
        </is>
      </c>
      <c r="B160" s="5" t="inlineStr">
        <is>
          <t>捐贈</t>
        </is>
      </c>
      <c r="C160" s="5" t="inlineStr">
        <is>
          <t>借</t>
        </is>
      </c>
      <c r="D160" s="5" t="inlineStr">
        <is>
          <t>費用</t>
        </is>
      </c>
    </row>
    <row r="161">
      <c r="A161" s="5" t="inlineStr">
        <is>
          <t>6130</t>
        </is>
      </c>
      <c r="B161" s="5" t="inlineStr">
        <is>
          <t>稅捐</t>
        </is>
      </c>
      <c r="C161" s="5" t="inlineStr">
        <is>
          <t>借</t>
        </is>
      </c>
      <c r="D161" s="5" t="inlineStr">
        <is>
          <t>費用</t>
        </is>
      </c>
    </row>
    <row r="162">
      <c r="A162" s="5" t="inlineStr">
        <is>
          <t>6140</t>
        </is>
      </c>
      <c r="B162" s="5" t="inlineStr">
        <is>
          <t>呆帳損失</t>
        </is>
      </c>
      <c r="C162" s="5" t="inlineStr">
        <is>
          <t>借</t>
        </is>
      </c>
      <c r="D162" s="5" t="inlineStr">
        <is>
          <t>費用</t>
        </is>
      </c>
    </row>
    <row r="163">
      <c r="A163" s="5" t="inlineStr">
        <is>
          <t>6150</t>
        </is>
      </c>
      <c r="B163" s="5" t="inlineStr">
        <is>
          <t>折舊</t>
        </is>
      </c>
      <c r="C163" s="5" t="inlineStr">
        <is>
          <t>借</t>
        </is>
      </c>
      <c r="D163" s="5" t="inlineStr">
        <is>
          <t>費用</t>
        </is>
      </c>
    </row>
    <row r="164">
      <c r="A164" s="5" t="inlineStr">
        <is>
          <t>6160</t>
        </is>
      </c>
      <c r="B164" s="5" t="inlineStr">
        <is>
          <t>各項耗竭及攤提</t>
        </is>
      </c>
      <c r="C164" s="5" t="inlineStr">
        <is>
          <t>借</t>
        </is>
      </c>
      <c r="D164" s="5" t="inlineStr">
        <is>
          <t>費用</t>
        </is>
      </c>
    </row>
    <row r="165">
      <c r="A165" s="5" t="inlineStr">
        <is>
          <t>6170</t>
        </is>
      </c>
      <c r="B165" s="5" t="inlineStr">
        <is>
          <t>外銷損失</t>
        </is>
      </c>
      <c r="C165" s="5" t="inlineStr">
        <is>
          <t>借</t>
        </is>
      </c>
      <c r="D165" s="5" t="inlineStr">
        <is>
          <t>費用</t>
        </is>
      </c>
    </row>
    <row r="166">
      <c r="A166" s="5" t="inlineStr">
        <is>
          <t>6180</t>
        </is>
      </c>
      <c r="B166" s="5" t="inlineStr">
        <is>
          <t>伙食費</t>
        </is>
      </c>
      <c r="C166" s="5" t="inlineStr">
        <is>
          <t>借</t>
        </is>
      </c>
      <c r="D166" s="5" t="inlineStr">
        <is>
          <t>費用</t>
        </is>
      </c>
    </row>
    <row r="167">
      <c r="A167" s="5" t="inlineStr">
        <is>
          <t>6190</t>
        </is>
      </c>
      <c r="B167" s="5" t="inlineStr">
        <is>
          <t>職工福利</t>
        </is>
      </c>
      <c r="C167" s="5" t="inlineStr">
        <is>
          <t>借</t>
        </is>
      </c>
      <c r="D167" s="5" t="inlineStr">
        <is>
          <t>費用</t>
        </is>
      </c>
    </row>
    <row r="168">
      <c r="A168" s="5" t="inlineStr">
        <is>
          <t>6200</t>
        </is>
      </c>
      <c r="B168" s="5" t="inlineStr">
        <is>
          <t>研究費</t>
        </is>
      </c>
      <c r="C168" s="5" t="inlineStr">
        <is>
          <t>借</t>
        </is>
      </c>
      <c r="D168" s="5" t="inlineStr">
        <is>
          <t>費用</t>
        </is>
      </c>
    </row>
    <row r="169">
      <c r="A169" s="5" t="inlineStr">
        <is>
          <t>6210</t>
        </is>
      </c>
      <c r="B169" s="5" t="inlineStr">
        <is>
          <t>佣金支出</t>
        </is>
      </c>
      <c r="C169" s="5" t="inlineStr">
        <is>
          <t>借</t>
        </is>
      </c>
      <c r="D169" s="5" t="inlineStr">
        <is>
          <t>費用</t>
        </is>
      </c>
    </row>
    <row r="170">
      <c r="A170" s="5" t="inlineStr">
        <is>
          <t>6220</t>
        </is>
      </c>
      <c r="B170" s="5" t="inlineStr">
        <is>
          <t>訓練費</t>
        </is>
      </c>
      <c r="C170" s="5" t="inlineStr">
        <is>
          <t>借</t>
        </is>
      </c>
      <c r="D170" s="5" t="inlineStr">
        <is>
          <t>費用</t>
        </is>
      </c>
    </row>
    <row r="171">
      <c r="A171" s="5" t="inlineStr">
        <is>
          <t>6230</t>
        </is>
      </c>
      <c r="B171" s="5" t="inlineStr">
        <is>
          <t>其他費用</t>
        </is>
      </c>
      <c r="C171" s="5" t="inlineStr">
        <is>
          <t>借</t>
        </is>
      </c>
      <c r="D171" s="5" t="inlineStr">
        <is>
          <t>費用</t>
        </is>
      </c>
    </row>
    <row r="172">
      <c r="A172" s="5" t="inlineStr">
        <is>
          <t>6240</t>
        </is>
      </c>
      <c r="B172" s="5" t="inlineStr">
        <is>
          <t>加班費</t>
        </is>
      </c>
      <c r="C172" s="5" t="inlineStr">
        <is>
          <t>借</t>
        </is>
      </c>
      <c r="D172" s="5" t="inlineStr">
        <is>
          <t>費用</t>
        </is>
      </c>
    </row>
    <row r="173">
      <c r="A173" s="5" t="inlineStr">
        <is>
          <t>6250</t>
        </is>
      </c>
      <c r="B173" s="5" t="inlineStr">
        <is>
          <t>退休金</t>
        </is>
      </c>
      <c r="C173" s="5" t="inlineStr">
        <is>
          <t>借</t>
        </is>
      </c>
      <c r="D173" s="5" t="inlineStr">
        <is>
          <t>費用</t>
        </is>
      </c>
    </row>
    <row r="174">
      <c r="A174" s="5" t="inlineStr">
        <is>
          <t>6260</t>
        </is>
      </c>
      <c r="B174" s="5" t="inlineStr">
        <is>
          <t>書報雜誌</t>
        </is>
      </c>
      <c r="C174" s="5" t="inlineStr">
        <is>
          <t>借</t>
        </is>
      </c>
      <c r="D174" s="5" t="inlineStr">
        <is>
          <t>費用</t>
        </is>
      </c>
    </row>
    <row r="175">
      <c r="A175" s="5" t="inlineStr">
        <is>
          <t>6270</t>
        </is>
      </c>
      <c r="B175" s="5" t="inlineStr">
        <is>
          <t>雜項購置</t>
        </is>
      </c>
      <c r="C175" s="5" t="inlineStr">
        <is>
          <t>借</t>
        </is>
      </c>
      <c r="D175" s="5" t="inlineStr">
        <is>
          <t>費用</t>
        </is>
      </c>
    </row>
    <row r="176">
      <c r="A176" s="5" t="inlineStr">
        <is>
          <t>6280</t>
        </is>
      </c>
      <c r="B176" s="5" t="inlineStr">
        <is>
          <t>出口費用</t>
        </is>
      </c>
      <c r="C176" s="5" t="inlineStr">
        <is>
          <t>借</t>
        </is>
      </c>
      <c r="D176" s="5" t="inlineStr">
        <is>
          <t>費用</t>
        </is>
      </c>
    </row>
    <row r="177">
      <c r="A177" s="5" t="inlineStr">
        <is>
          <t>6290</t>
        </is>
      </c>
      <c r="B177" s="5" t="inlineStr">
        <is>
          <t>手續費</t>
        </is>
      </c>
      <c r="C177" s="5" t="inlineStr">
        <is>
          <t>借</t>
        </is>
      </c>
      <c r="D177" s="5" t="inlineStr">
        <is>
          <t>費用</t>
        </is>
      </c>
    </row>
    <row r="178">
      <c r="A178" s="5" t="inlineStr">
        <is>
          <t>6300</t>
        </is>
      </c>
      <c r="B178" s="5" t="inlineStr">
        <is>
          <t>匯費</t>
        </is>
      </c>
      <c r="C178" s="5" t="inlineStr">
        <is>
          <t>借</t>
        </is>
      </c>
      <c r="D178" s="5" t="inlineStr">
        <is>
          <t>費用</t>
        </is>
      </c>
    </row>
    <row r="179">
      <c r="A179" s="5" t="inlineStr">
        <is>
          <t>6310</t>
        </is>
      </c>
      <c r="B179" s="5" t="inlineStr">
        <is>
          <t>檢驗費</t>
        </is>
      </c>
      <c r="C179" s="5" t="inlineStr">
        <is>
          <t>借</t>
        </is>
      </c>
      <c r="D179" s="5" t="inlineStr">
        <is>
          <t>費用</t>
        </is>
      </c>
    </row>
    <row r="180">
      <c r="A180" s="5" t="inlineStr">
        <is>
          <t>6320</t>
        </is>
      </c>
      <c r="B180" s="5" t="inlineStr">
        <is>
          <t>交通費</t>
        </is>
      </c>
      <c r="C180" s="5" t="inlineStr">
        <is>
          <t>借</t>
        </is>
      </c>
      <c r="D180" s="5" t="inlineStr">
        <is>
          <t>費用</t>
        </is>
      </c>
    </row>
    <row r="181">
      <c r="A181" s="5" t="inlineStr">
        <is>
          <t>6330</t>
        </is>
      </c>
      <c r="B181" s="5" t="inlineStr">
        <is>
          <t>公會費</t>
        </is>
      </c>
      <c r="C181" s="5" t="inlineStr">
        <is>
          <t>借</t>
        </is>
      </c>
      <c r="D181" s="5" t="inlineStr">
        <is>
          <t>費用</t>
        </is>
      </c>
    </row>
    <row r="182">
      <c r="A182" s="5" t="inlineStr">
        <is>
          <t>6340</t>
        </is>
      </c>
      <c r="B182" s="5" t="inlineStr">
        <is>
          <t>燃料費</t>
        </is>
      </c>
      <c r="C182" s="5" t="inlineStr">
        <is>
          <t>借</t>
        </is>
      </c>
      <c r="D182" s="5" t="inlineStr">
        <is>
          <t>費用</t>
        </is>
      </c>
    </row>
    <row r="183">
      <c r="A183" s="5" t="inlineStr">
        <is>
          <t>6350</t>
        </is>
      </c>
      <c r="B183" s="5" t="inlineStr">
        <is>
          <t>醫藥費</t>
        </is>
      </c>
      <c r="C183" s="5" t="inlineStr">
        <is>
          <t>借</t>
        </is>
      </c>
      <c r="D183" s="5" t="inlineStr">
        <is>
          <t>費用</t>
        </is>
      </c>
    </row>
    <row r="184">
      <c r="A184" s="5" t="inlineStr">
        <is>
          <t>6360</t>
        </is>
      </c>
      <c r="B184" s="5" t="inlineStr">
        <is>
          <t>規費</t>
        </is>
      </c>
      <c r="C184" s="5" t="inlineStr">
        <is>
          <t>借</t>
        </is>
      </c>
      <c r="D184" s="5" t="inlineStr">
        <is>
          <t>費用</t>
        </is>
      </c>
    </row>
    <row r="185">
      <c r="A185" s="5" t="inlineStr">
        <is>
          <t>6370</t>
        </is>
      </c>
      <c r="B185" s="5" t="inlineStr">
        <is>
          <t>包裝費</t>
        </is>
      </c>
      <c r="C185" s="5" t="inlineStr">
        <is>
          <t>借</t>
        </is>
      </c>
      <c r="D185" s="5" t="inlineStr">
        <is>
          <t>費用</t>
        </is>
      </c>
    </row>
    <row r="186">
      <c r="A186" s="5" t="inlineStr">
        <is>
          <t>6380</t>
        </is>
      </c>
      <c r="B186" s="5" t="inlineStr">
        <is>
          <t>加工費用</t>
        </is>
      </c>
      <c r="C186" s="5" t="inlineStr">
        <is>
          <t>借</t>
        </is>
      </c>
      <c r="D186" s="5" t="inlineStr">
        <is>
          <t>費用</t>
        </is>
      </c>
    </row>
    <row r="187">
      <c r="A187" s="5" t="inlineStr">
        <is>
          <t>6390</t>
        </is>
      </c>
      <c r="B187" s="5" t="inlineStr">
        <is>
          <t>消耗費</t>
        </is>
      </c>
      <c r="C187" s="5" t="inlineStr">
        <is>
          <t>借</t>
        </is>
      </c>
      <c r="D187" s="5" t="inlineStr">
        <is>
          <t>費用</t>
        </is>
      </c>
    </row>
    <row r="188">
      <c r="A188" s="5" t="inlineStr">
        <is>
          <t>6400</t>
        </is>
      </c>
      <c r="B188" s="5" t="inlineStr">
        <is>
          <t>勞務費</t>
        </is>
      </c>
      <c r="C188" s="5" t="inlineStr">
        <is>
          <t>借</t>
        </is>
      </c>
      <c r="D188" s="5" t="inlineStr">
        <is>
          <t>費用</t>
        </is>
      </c>
    </row>
    <row r="189">
      <c r="A189" s="5" t="inlineStr">
        <is>
          <t>6410</t>
        </is>
      </c>
      <c r="B189" s="5" t="inlineStr">
        <is>
          <t>倉租</t>
        </is>
      </c>
      <c r="C189" s="5" t="inlineStr">
        <is>
          <t>借</t>
        </is>
      </c>
      <c r="D189" s="5" t="inlineStr">
        <is>
          <t>費用</t>
        </is>
      </c>
    </row>
    <row r="190">
      <c r="A190" s="5" t="inlineStr">
        <is>
          <t>6420</t>
        </is>
      </c>
      <c r="B190" s="5" t="inlineStr">
        <is>
          <t>報關費</t>
        </is>
      </c>
      <c r="C190" s="5" t="inlineStr">
        <is>
          <t>借</t>
        </is>
      </c>
      <c r="D190" s="5" t="inlineStr">
        <is>
          <t>費用</t>
        </is>
      </c>
    </row>
    <row r="191">
      <c r="A191" s="5" t="inlineStr">
        <is>
          <t>6430</t>
        </is>
      </c>
      <c r="B191" s="5" t="inlineStr">
        <is>
          <t>進口運費</t>
        </is>
      </c>
      <c r="C191" s="5" t="inlineStr">
        <is>
          <t>借</t>
        </is>
      </c>
      <c r="D191" s="5" t="inlineStr">
        <is>
          <t>費用</t>
        </is>
      </c>
    </row>
    <row r="192">
      <c r="A192" s="5" t="inlineStr">
        <is>
          <t>6440</t>
        </is>
      </c>
      <c r="B192" s="5" t="inlineStr">
        <is>
          <t>出口結匯費</t>
        </is>
      </c>
      <c r="C192" s="5" t="inlineStr">
        <is>
          <t>借</t>
        </is>
      </c>
      <c r="D192" s="5" t="inlineStr">
        <is>
          <t>費用</t>
        </is>
      </c>
    </row>
    <row r="193">
      <c r="A193" s="5" t="inlineStr">
        <is>
          <t>6450</t>
        </is>
      </c>
      <c r="B193" s="5" t="inlineStr">
        <is>
          <t>碼頭工資</t>
        </is>
      </c>
      <c r="C193" s="5" t="inlineStr">
        <is>
          <t>借</t>
        </is>
      </c>
      <c r="D193" s="5" t="inlineStr">
        <is>
          <t>費用</t>
        </is>
      </c>
    </row>
    <row r="194">
      <c r="A194" s="5" t="inlineStr">
        <is>
          <t>6460</t>
        </is>
      </c>
      <c r="B194" s="5" t="inlineStr">
        <is>
          <t>服務費</t>
        </is>
      </c>
      <c r="C194" s="5" t="inlineStr">
        <is>
          <t>借</t>
        </is>
      </c>
      <c r="D194" s="5" t="inlineStr">
        <is>
          <t>費用</t>
        </is>
      </c>
    </row>
    <row r="195">
      <c r="A195" s="5" t="inlineStr">
        <is>
          <t>6470</t>
        </is>
      </c>
      <c r="B195" s="5" t="inlineStr">
        <is>
          <t>清潔費</t>
        </is>
      </c>
      <c r="C195" s="5" t="inlineStr">
        <is>
          <t>借</t>
        </is>
      </c>
      <c r="D195" s="5" t="inlineStr">
        <is>
          <t>費用</t>
        </is>
      </c>
    </row>
    <row r="196">
      <c r="A196" s="5" t="inlineStr">
        <is>
          <t>6480</t>
        </is>
      </c>
      <c r="B196" s="5" t="inlineStr">
        <is>
          <t>樣品費</t>
        </is>
      </c>
      <c r="C196" s="5" t="inlineStr">
        <is>
          <t>借</t>
        </is>
      </c>
      <c r="D196" s="5" t="inlineStr">
        <is>
          <t>費用</t>
        </is>
      </c>
    </row>
    <row r="197">
      <c r="A197" s="5" t="inlineStr">
        <is>
          <t>6490</t>
        </is>
      </c>
      <c r="B197" s="5" t="inlineStr">
        <is>
          <t>稿費</t>
        </is>
      </c>
      <c r="C197" s="5" t="inlineStr">
        <is>
          <t>借</t>
        </is>
      </c>
      <c r="D197" s="5" t="inlineStr">
        <is>
          <t>費用</t>
        </is>
      </c>
    </row>
    <row r="198">
      <c r="A198" s="5" t="inlineStr">
        <is>
          <t>6500</t>
        </is>
      </c>
      <c r="B198" s="5" t="inlineStr">
        <is>
          <t>排印費</t>
        </is>
      </c>
      <c r="C198" s="5" t="inlineStr">
        <is>
          <t>借</t>
        </is>
      </c>
      <c r="D198" s="5" t="inlineStr">
        <is>
          <t>費用</t>
        </is>
      </c>
    </row>
    <row r="199">
      <c r="A199" s="5" t="inlineStr">
        <is>
          <t>6510</t>
        </is>
      </c>
      <c r="B199" s="5" t="inlineStr">
        <is>
          <t>製版費</t>
        </is>
      </c>
      <c r="C199" s="5" t="inlineStr">
        <is>
          <t>借</t>
        </is>
      </c>
      <c r="D199" s="5" t="inlineStr">
        <is>
          <t>費用</t>
        </is>
      </c>
    </row>
    <row r="200">
      <c r="A200" s="5" t="inlineStr">
        <is>
          <t>6520</t>
        </is>
      </c>
      <c r="B200" s="5" t="inlineStr">
        <is>
          <t>出版費</t>
        </is>
      </c>
      <c r="C200" s="5" t="inlineStr">
        <is>
          <t>借</t>
        </is>
      </c>
      <c r="D200" s="5" t="inlineStr">
        <is>
          <t>費用</t>
        </is>
      </c>
    </row>
    <row r="201">
      <c r="A201" s="5" t="inlineStr">
        <is>
          <t>6530</t>
        </is>
      </c>
      <c r="B201" s="5" t="inlineStr">
        <is>
          <t>工具費</t>
        </is>
      </c>
      <c r="C201" s="5" t="inlineStr">
        <is>
          <t>借</t>
        </is>
      </c>
      <c r="D201" s="5" t="inlineStr">
        <is>
          <t>費用</t>
        </is>
      </c>
    </row>
    <row r="202">
      <c r="A202" s="5" t="inlineStr">
        <is>
          <t>7010</t>
        </is>
      </c>
      <c r="B202" s="5" t="inlineStr">
        <is>
          <t>一般股息與紅利</t>
        </is>
      </c>
      <c r="C202" s="5" t="inlineStr">
        <is>
          <t>貸</t>
        </is>
      </c>
      <c r="D202" s="5" t="inlineStr">
        <is>
          <t>非營業收入</t>
        </is>
      </c>
    </row>
    <row r="203">
      <c r="A203" s="5" t="inlineStr">
        <is>
          <t>7040</t>
        </is>
      </c>
      <c r="B203" s="5" t="inlineStr">
        <is>
          <t>利息收入</t>
        </is>
      </c>
      <c r="C203" s="5" t="inlineStr">
        <is>
          <t>貸</t>
        </is>
      </c>
      <c r="D203" s="5" t="inlineStr">
        <is>
          <t>非營業收入</t>
        </is>
      </c>
    </row>
    <row r="204">
      <c r="A204" s="5" t="inlineStr">
        <is>
          <t>7050</t>
        </is>
      </c>
      <c r="B204" s="5" t="inlineStr">
        <is>
          <t>租賃收入</t>
        </is>
      </c>
      <c r="C204" s="5" t="inlineStr">
        <is>
          <t>貸</t>
        </is>
      </c>
      <c r="D204" s="5" t="inlineStr">
        <is>
          <t>非營業收入</t>
        </is>
      </c>
    </row>
    <row r="205">
      <c r="A205" s="5" t="inlineStr">
        <is>
          <t>7060</t>
        </is>
      </c>
      <c r="B205" s="5" t="inlineStr">
        <is>
          <t>財產交易增益</t>
        </is>
      </c>
      <c r="C205" s="5" t="inlineStr">
        <is>
          <t>貸</t>
        </is>
      </c>
      <c r="D205" s="5" t="inlineStr">
        <is>
          <t>非營業收入</t>
        </is>
      </c>
    </row>
    <row r="206">
      <c r="A206" s="5" t="inlineStr">
        <is>
          <t>7070</t>
        </is>
      </c>
      <c r="B206" s="5" t="inlineStr">
        <is>
          <t>佣金收入</t>
        </is>
      </c>
      <c r="C206" s="5" t="inlineStr">
        <is>
          <t>貸</t>
        </is>
      </c>
      <c r="D206" s="5" t="inlineStr">
        <is>
          <t>非營業收入</t>
        </is>
      </c>
    </row>
    <row r="207">
      <c r="A207" s="5" t="inlineStr">
        <is>
          <t>7080</t>
        </is>
      </c>
      <c r="B207" s="5" t="inlineStr">
        <is>
          <t>商品盤盈</t>
        </is>
      </c>
      <c r="C207" s="5" t="inlineStr">
        <is>
          <t>貸</t>
        </is>
      </c>
      <c r="D207" s="5" t="inlineStr">
        <is>
          <t>非營業收入</t>
        </is>
      </c>
    </row>
    <row r="208">
      <c r="A208" s="5" t="inlineStr">
        <is>
          <t>7090</t>
        </is>
      </c>
      <c r="B208" s="5" t="inlineStr">
        <is>
          <t>兌換盈益</t>
        </is>
      </c>
      <c r="C208" s="5" t="inlineStr">
        <is>
          <t>貸</t>
        </is>
      </c>
      <c r="D208" s="5" t="inlineStr">
        <is>
          <t>非營業收入</t>
        </is>
      </c>
    </row>
    <row r="209">
      <c r="A209" s="5" t="inlineStr">
        <is>
          <t>7100</t>
        </is>
      </c>
      <c r="B209" s="5" t="inlineStr">
        <is>
          <t>其他收入</t>
        </is>
      </c>
      <c r="C209" s="5" t="inlineStr">
        <is>
          <t>貸</t>
        </is>
      </c>
      <c r="D209" s="5" t="inlineStr">
        <is>
          <t>非營業收入</t>
        </is>
      </c>
    </row>
    <row r="210">
      <c r="A210" s="5" t="inlineStr">
        <is>
          <t>7110</t>
        </is>
      </c>
      <c r="B210" s="5" t="inlineStr">
        <is>
          <t>保險補償金</t>
        </is>
      </c>
      <c r="C210" s="5" t="inlineStr">
        <is>
          <t>貸</t>
        </is>
      </c>
      <c r="D210" s="5" t="inlineStr">
        <is>
          <t>非營業收入</t>
        </is>
      </c>
    </row>
    <row r="211">
      <c r="A211" s="5" t="inlineStr">
        <is>
          <t>7130</t>
        </is>
      </c>
      <c r="B211" s="5" t="inlineStr">
        <is>
          <t>獎勵金收入</t>
        </is>
      </c>
      <c r="C211" s="5" t="inlineStr">
        <is>
          <t>貸</t>
        </is>
      </c>
      <c r="D211" s="5" t="inlineStr">
        <is>
          <t>非營業收入</t>
        </is>
      </c>
    </row>
    <row r="212">
      <c r="A212" s="5" t="inlineStr">
        <is>
          <t>7140</t>
        </is>
      </c>
      <c r="B212" s="5" t="inlineStr">
        <is>
          <t>中獎收入</t>
        </is>
      </c>
      <c r="C212" s="5" t="inlineStr">
        <is>
          <t>貸</t>
        </is>
      </c>
      <c r="D212" s="5" t="inlineStr">
        <is>
          <t>非營業收入</t>
        </is>
      </c>
    </row>
    <row r="213">
      <c r="A213" s="5" t="inlineStr">
        <is>
          <t>7150</t>
        </is>
      </c>
      <c r="B213" s="5" t="inlineStr">
        <is>
          <t>兌換盈益</t>
        </is>
      </c>
      <c r="C213" s="5" t="inlineStr">
        <is>
          <t>貸</t>
        </is>
      </c>
      <c r="D213" s="5" t="inlineStr">
        <is>
          <t>非營業收入</t>
        </is>
      </c>
    </row>
    <row r="214">
      <c r="A214" s="5" t="inlineStr">
        <is>
          <t>7160</t>
        </is>
      </c>
      <c r="B214" s="5" t="inlineStr">
        <is>
          <t>退稅收入</t>
        </is>
      </c>
      <c r="C214" s="5" t="inlineStr">
        <is>
          <t>貸</t>
        </is>
      </c>
      <c r="D214" s="5" t="inlineStr">
        <is>
          <t>非營業收入</t>
        </is>
      </c>
    </row>
    <row r="215">
      <c r="A215" s="5" t="inlineStr">
        <is>
          <t>8010</t>
        </is>
      </c>
      <c r="B215" s="5" t="inlineStr">
        <is>
          <t>利息支出</t>
        </is>
      </c>
      <c r="C215" s="5" t="inlineStr">
        <is>
          <t>借</t>
        </is>
      </c>
      <c r="D215" s="5" t="inlineStr">
        <is>
          <t>非營業費用</t>
        </is>
      </c>
    </row>
    <row r="216">
      <c r="A216" s="5" t="inlineStr">
        <is>
          <t>8020</t>
        </is>
      </c>
      <c r="B216" s="5" t="inlineStr">
        <is>
          <t>投資損失</t>
        </is>
      </c>
      <c r="C216" s="5" t="inlineStr">
        <is>
          <t>借</t>
        </is>
      </c>
      <c r="D216" s="5" t="inlineStr">
        <is>
          <t>非營業費用</t>
        </is>
      </c>
    </row>
    <row r="217">
      <c r="A217" s="5" t="inlineStr">
        <is>
          <t>8030</t>
        </is>
      </c>
      <c r="B217" s="5" t="inlineStr">
        <is>
          <t>財產交易損失</t>
        </is>
      </c>
      <c r="C217" s="5" t="inlineStr">
        <is>
          <t>借</t>
        </is>
      </c>
      <c r="D217" s="5" t="inlineStr">
        <is>
          <t>非營業費用</t>
        </is>
      </c>
    </row>
    <row r="218">
      <c r="A218" s="5" t="inlineStr">
        <is>
          <t>8040</t>
        </is>
      </c>
      <c r="B218" s="5" t="inlineStr">
        <is>
          <t>災害損失</t>
        </is>
      </c>
      <c r="C218" s="5" t="inlineStr">
        <is>
          <t>借</t>
        </is>
      </c>
      <c r="D218" s="5" t="inlineStr">
        <is>
          <t>非營業費用</t>
        </is>
      </c>
    </row>
    <row r="219">
      <c r="A219" s="5" t="inlineStr">
        <is>
          <t>8050</t>
        </is>
      </c>
      <c r="B219" s="5" t="inlineStr">
        <is>
          <t>商品盤損</t>
        </is>
      </c>
      <c r="C219" s="5" t="inlineStr">
        <is>
          <t>借</t>
        </is>
      </c>
      <c r="D219" s="5" t="inlineStr">
        <is>
          <t>非營業費用</t>
        </is>
      </c>
    </row>
    <row r="220">
      <c r="A220" s="5" t="inlineStr">
        <is>
          <t>8060</t>
        </is>
      </c>
      <c r="B220" s="5" t="inlineStr">
        <is>
          <t>兌換損失</t>
        </is>
      </c>
      <c r="C220" s="5" t="inlineStr">
        <is>
          <t>借</t>
        </is>
      </c>
      <c r="D220" s="5" t="inlineStr">
        <is>
          <t>非營業費用</t>
        </is>
      </c>
    </row>
    <row r="221">
      <c r="A221" s="5" t="inlineStr">
        <is>
          <t>8070</t>
        </is>
      </c>
      <c r="B221" s="5" t="inlineStr">
        <is>
          <t>其他損失</t>
        </is>
      </c>
      <c r="C221" s="5" t="inlineStr">
        <is>
          <t>借</t>
        </is>
      </c>
      <c r="D221" s="5" t="inlineStr">
        <is>
          <t>非營業費用</t>
        </is>
      </c>
    </row>
    <row r="222">
      <c r="A222" s="5" t="inlineStr">
        <is>
          <t>8080</t>
        </is>
      </c>
      <c r="B222" s="5" t="inlineStr">
        <is>
          <t>竊盜損失</t>
        </is>
      </c>
      <c r="C222" s="5" t="inlineStr">
        <is>
          <t>借</t>
        </is>
      </c>
      <c r="D222" s="5" t="inlineStr">
        <is>
          <t>非營業費用</t>
        </is>
      </c>
    </row>
    <row r="223">
      <c r="A223" s="5" t="inlineStr">
        <is>
          <t>8090</t>
        </is>
      </c>
      <c r="B223" s="5" t="inlineStr">
        <is>
          <t>外銷損失</t>
        </is>
      </c>
      <c r="C223" s="5" t="inlineStr">
        <is>
          <t>借</t>
        </is>
      </c>
      <c r="D223" s="5" t="inlineStr">
        <is>
          <t>非營業費用</t>
        </is>
      </c>
    </row>
    <row r="224">
      <c r="A224" s="5" t="inlineStr">
        <is>
          <t>9000</t>
        </is>
      </c>
      <c r="B224" s="5" t="inlineStr">
        <is>
          <t>所得稅費用(利益)</t>
        </is>
      </c>
      <c r="C224" s="5" t="inlineStr">
        <is>
          <t>借</t>
        </is>
      </c>
      <c r="D224" s="5" t="inlineStr">
        <is>
          <t>所得稅</t>
        </is>
      </c>
    </row>
    <row r="225">
      <c r="A225" s="5" t="inlineStr">
        <is>
          <t>9500</t>
        </is>
      </c>
      <c r="B225" s="5" t="inlineStr">
        <is>
          <t>本期其他綜合損益(稅後淨額)</t>
        </is>
      </c>
      <c r="C225" s="5" t="inlineStr">
        <is>
          <t>借</t>
        </is>
      </c>
      <c r="D225" s="5" t="inlineStr">
        <is>
          <t>所得稅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25" customWidth="1" min="5" max="5"/>
    <col width="15" customWidth="1" min="6" max="6"/>
    <col width="15" customWidth="1" min="7" max="7"/>
  </cols>
  <sheetData>
    <row r="1">
      <c r="A1" s="4" t="inlineStr">
        <is>
          <t>傳票號</t>
        </is>
      </c>
      <c r="B1" s="4" t="inlineStr">
        <is>
          <t>日期</t>
        </is>
      </c>
      <c r="C1" s="4" t="inlineStr">
        <is>
          <t>摘要</t>
        </is>
      </c>
      <c r="D1" s="4" t="inlineStr">
        <is>
          <t>科目代號</t>
        </is>
      </c>
      <c r="E1" s="4" t="inlineStr">
        <is>
          <t>科目名稱</t>
        </is>
      </c>
      <c r="F1" s="4" t="inlineStr">
        <is>
          <t>借方金額</t>
        </is>
      </c>
      <c r="G1" s="4" t="inlineStr">
        <is>
          <t>貸方金額</t>
        </is>
      </c>
    </row>
    <row r="2">
      <c r="A2" t="inlineStr">
        <is>
          <t>2401001</t>
        </is>
      </c>
      <c r="B2" t="inlineStr">
        <is>
          <t>2025/01/01</t>
        </is>
      </c>
      <c r="C2" t="inlineStr">
        <is>
          <t>公司創立</t>
        </is>
      </c>
      <c r="D2" t="inlineStr">
        <is>
          <t>11121</t>
        </is>
      </c>
      <c r="E2">
        <f>IFERROR(VLOOKUP(D2,科目表!$A:$B,2,FALSE),"")</f>
        <v/>
      </c>
      <c r="F2" s="6" t="n">
        <v>1000000</v>
      </c>
      <c r="G2" s="6" t="inlineStr"/>
    </row>
    <row r="3">
      <c r="A3" t="inlineStr">
        <is>
          <t>2401001</t>
        </is>
      </c>
      <c r="B3" t="inlineStr">
        <is>
          <t>2025/01/01</t>
        </is>
      </c>
      <c r="C3" t="inlineStr">
        <is>
          <t>公司創立</t>
        </is>
      </c>
      <c r="D3" t="inlineStr">
        <is>
          <t>3110</t>
        </is>
      </c>
      <c r="E3">
        <f>IFERROR(VLOOKUP(D3,科目表!$A:$B,2,FALSE),"")</f>
        <v/>
      </c>
      <c r="F3" s="6" t="inlineStr"/>
      <c r="G3" s="6" t="n">
        <v>1000000</v>
      </c>
    </row>
    <row r="4">
      <c r="E4">
        <f>IFERROR(VLOOKUP(D4,科目表!$A:$B,2,FALSE),"")</f>
        <v/>
      </c>
      <c r="F4" s="6" t="n"/>
      <c r="G4" s="6" t="n"/>
    </row>
    <row r="5">
      <c r="E5">
        <f>IFERROR(VLOOKUP(D5,科目表!$A:$B,2,FALSE),"")</f>
        <v/>
      </c>
      <c r="F5" s="6" t="n"/>
      <c r="G5" s="6" t="n"/>
    </row>
    <row r="6">
      <c r="E6">
        <f>IFERROR(VLOOKUP(D6,科目表!$A:$B,2,FALSE),"")</f>
        <v/>
      </c>
      <c r="F6" s="6" t="n"/>
      <c r="G6" s="6" t="n"/>
    </row>
    <row r="7">
      <c r="E7">
        <f>IFERROR(VLOOKUP(D7,科目表!$A:$B,2,FALSE),"")</f>
        <v/>
      </c>
      <c r="F7" s="6" t="n"/>
      <c r="G7" s="6" t="n"/>
    </row>
    <row r="8">
      <c r="E8">
        <f>IFERROR(VLOOKUP(D8,科目表!$A:$B,2,FALSE),"")</f>
        <v/>
      </c>
      <c r="F8" s="6" t="n"/>
      <c r="G8" s="6" t="n"/>
    </row>
    <row r="9">
      <c r="E9">
        <f>IFERROR(VLOOKUP(D9,科目表!$A:$B,2,FALSE),"")</f>
        <v/>
      </c>
      <c r="F9" s="6" t="n"/>
      <c r="G9" s="6" t="n"/>
    </row>
    <row r="10">
      <c r="E10">
        <f>IFERROR(VLOOKUP(D10,科目表!$A:$B,2,FALSE),"")</f>
        <v/>
      </c>
      <c r="F10" s="6" t="n"/>
      <c r="G10" s="6" t="n"/>
    </row>
    <row r="11">
      <c r="E11">
        <f>IFERROR(VLOOKUP(D11,科目表!$A:$B,2,FALSE),"")</f>
        <v/>
      </c>
      <c r="F11" s="6" t="n"/>
      <c r="G11" s="6" t="n"/>
    </row>
    <row r="12">
      <c r="E12">
        <f>IFERROR(VLOOKUP(D12,科目表!$A:$B,2,FALSE),"")</f>
        <v/>
      </c>
      <c r="F12" s="6" t="n"/>
      <c r="G12" s="6" t="n"/>
    </row>
    <row r="13">
      <c r="E13">
        <f>IFERROR(VLOOKUP(D13,科目表!$A:$B,2,FALSE),"")</f>
        <v/>
      </c>
      <c r="F13" s="6" t="n"/>
      <c r="G13" s="6" t="n"/>
    </row>
    <row r="14">
      <c r="E14">
        <f>IFERROR(VLOOKUP(D14,科目表!$A:$B,2,FALSE),"")</f>
        <v/>
      </c>
      <c r="F14" s="6" t="n"/>
      <c r="G14" s="6" t="n"/>
    </row>
    <row r="15">
      <c r="E15">
        <f>IFERROR(VLOOKUP(D15,科目表!$A:$B,2,FALSE),"")</f>
        <v/>
      </c>
      <c r="F15" s="6" t="n"/>
      <c r="G15" s="6" t="n"/>
    </row>
    <row r="16">
      <c r="E16">
        <f>IFERROR(VLOOKUP(D16,科目表!$A:$B,2,FALSE),"")</f>
        <v/>
      </c>
      <c r="F16" s="6" t="n"/>
      <c r="G16" s="6" t="n"/>
    </row>
    <row r="17">
      <c r="E17">
        <f>IFERROR(VLOOKUP(D17,科目表!$A:$B,2,FALSE),"")</f>
        <v/>
      </c>
      <c r="F17" s="6" t="n"/>
      <c r="G17" s="6" t="n"/>
    </row>
    <row r="18">
      <c r="E18">
        <f>IFERROR(VLOOKUP(D18,科目表!$A:$B,2,FALSE),"")</f>
        <v/>
      </c>
      <c r="F18" s="6" t="n"/>
      <c r="G18" s="6" t="n"/>
    </row>
    <row r="19">
      <c r="E19">
        <f>IFERROR(VLOOKUP(D19,科目表!$A:$B,2,FALSE),"")</f>
        <v/>
      </c>
      <c r="F19" s="6" t="n"/>
      <c r="G19" s="6" t="n"/>
    </row>
    <row r="20">
      <c r="E20">
        <f>IFERROR(VLOOKUP(D20,科目表!$A:$B,2,FALSE),"")</f>
        <v/>
      </c>
      <c r="F20" s="6" t="n"/>
      <c r="G20" s="6" t="n"/>
    </row>
    <row r="21">
      <c r="E21">
        <f>IFERROR(VLOOKUP(D21,科目表!$A:$B,2,FALSE),"")</f>
        <v/>
      </c>
      <c r="F21" s="6" t="n"/>
      <c r="G21" s="6" t="n"/>
    </row>
    <row r="22">
      <c r="E22">
        <f>IFERROR(VLOOKUP(D22,科目表!$A:$B,2,FALSE),"")</f>
        <v/>
      </c>
      <c r="F22" s="6" t="n"/>
      <c r="G22" s="6" t="n"/>
    </row>
    <row r="23">
      <c r="E23">
        <f>IFERROR(VLOOKUP(D23,科目表!$A:$B,2,FALSE),"")</f>
        <v/>
      </c>
      <c r="F23" s="6" t="n"/>
      <c r="G23" s="6" t="n"/>
    </row>
    <row r="24">
      <c r="E24">
        <f>IFERROR(VLOOKUP(D24,科目表!$A:$B,2,FALSE),"")</f>
        <v/>
      </c>
      <c r="F24" s="6" t="n"/>
      <c r="G24" s="6" t="n"/>
    </row>
    <row r="25">
      <c r="E25">
        <f>IFERROR(VLOOKUP(D25,科目表!$A:$B,2,FALSE),"")</f>
        <v/>
      </c>
      <c r="F25" s="6" t="n"/>
      <c r="G25" s="6" t="n"/>
    </row>
    <row r="26">
      <c r="E26">
        <f>IFERROR(VLOOKUP(D26,科目表!$A:$B,2,FALSE),"")</f>
        <v/>
      </c>
      <c r="F26" s="6" t="n"/>
      <c r="G26" s="6" t="n"/>
    </row>
    <row r="27">
      <c r="E27">
        <f>IFERROR(VLOOKUP(D27,科目表!$A:$B,2,FALSE),"")</f>
        <v/>
      </c>
      <c r="F27" s="6" t="n"/>
      <c r="G27" s="6" t="n"/>
    </row>
    <row r="28">
      <c r="E28">
        <f>IFERROR(VLOOKUP(D28,科目表!$A:$B,2,FALSE),"")</f>
        <v/>
      </c>
      <c r="F28" s="6" t="n"/>
      <c r="G28" s="6" t="n"/>
    </row>
    <row r="29">
      <c r="E29">
        <f>IFERROR(VLOOKUP(D29,科目表!$A:$B,2,FALSE),"")</f>
        <v/>
      </c>
      <c r="F29" s="6" t="n"/>
      <c r="G29" s="6" t="n"/>
    </row>
    <row r="30">
      <c r="E30">
        <f>IFERROR(VLOOKUP(D30,科目表!$A:$B,2,FALSE),"")</f>
        <v/>
      </c>
      <c r="F30" s="6" t="n"/>
      <c r="G30" s="6" t="n"/>
    </row>
    <row r="31">
      <c r="E31">
        <f>IFERROR(VLOOKUP(D31,科目表!$A:$B,2,FALSE),"")</f>
        <v/>
      </c>
      <c r="F31" s="6" t="n"/>
      <c r="G31" s="6" t="n"/>
    </row>
    <row r="32">
      <c r="E32">
        <f>IFERROR(VLOOKUP(D32,科目表!$A:$B,2,FALSE),"")</f>
        <v/>
      </c>
      <c r="F32" s="6" t="n"/>
      <c r="G32" s="6" t="n"/>
    </row>
    <row r="33">
      <c r="E33">
        <f>IFERROR(VLOOKUP(D33,科目表!$A:$B,2,FALSE),"")</f>
        <v/>
      </c>
      <c r="F33" s="6" t="n"/>
      <c r="G33" s="6" t="n"/>
    </row>
    <row r="34">
      <c r="E34">
        <f>IFERROR(VLOOKUP(D34,科目表!$A:$B,2,FALSE),"")</f>
        <v/>
      </c>
      <c r="F34" s="6" t="n"/>
      <c r="G34" s="6" t="n"/>
    </row>
    <row r="35">
      <c r="E35">
        <f>IFERROR(VLOOKUP(D35,科目表!$A:$B,2,FALSE),"")</f>
        <v/>
      </c>
      <c r="F35" s="6" t="n"/>
      <c r="G35" s="6" t="n"/>
    </row>
    <row r="36">
      <c r="E36">
        <f>IFERROR(VLOOKUP(D36,科目表!$A:$B,2,FALSE),"")</f>
        <v/>
      </c>
      <c r="F36" s="6" t="n"/>
      <c r="G36" s="6" t="n"/>
    </row>
    <row r="37">
      <c r="E37">
        <f>IFERROR(VLOOKUP(D37,科目表!$A:$B,2,FALSE),"")</f>
        <v/>
      </c>
      <c r="F37" s="6" t="n"/>
      <c r="G37" s="6" t="n"/>
    </row>
    <row r="38">
      <c r="E38">
        <f>IFERROR(VLOOKUP(D38,科目表!$A:$B,2,FALSE),"")</f>
        <v/>
      </c>
      <c r="F38" s="6" t="n"/>
      <c r="G38" s="6" t="n"/>
    </row>
    <row r="39">
      <c r="E39">
        <f>IFERROR(VLOOKUP(D39,科目表!$A:$B,2,FALSE),"")</f>
        <v/>
      </c>
      <c r="F39" s="6" t="n"/>
      <c r="G39" s="6" t="n"/>
    </row>
    <row r="40">
      <c r="E40">
        <f>IFERROR(VLOOKUP(D40,科目表!$A:$B,2,FALSE),"")</f>
        <v/>
      </c>
      <c r="F40" s="6" t="n"/>
      <c r="G40" s="6" t="n"/>
    </row>
    <row r="41">
      <c r="E41">
        <f>IFERROR(VLOOKUP(D41,科目表!$A:$B,2,FALSE),"")</f>
        <v/>
      </c>
      <c r="F41" s="6" t="n"/>
      <c r="G41" s="6" t="n"/>
    </row>
    <row r="42">
      <c r="E42">
        <f>IFERROR(VLOOKUP(D42,科目表!$A:$B,2,FALSE),"")</f>
        <v/>
      </c>
      <c r="F42" s="6" t="n"/>
      <c r="G42" s="6" t="n"/>
    </row>
    <row r="43">
      <c r="E43">
        <f>IFERROR(VLOOKUP(D43,科目表!$A:$B,2,FALSE),"")</f>
        <v/>
      </c>
      <c r="F43" s="6" t="n"/>
      <c r="G43" s="6" t="n"/>
    </row>
    <row r="44">
      <c r="E44">
        <f>IFERROR(VLOOKUP(D44,科目表!$A:$B,2,FALSE),"")</f>
        <v/>
      </c>
      <c r="F44" s="6" t="n"/>
      <c r="G44" s="6" t="n"/>
    </row>
    <row r="45">
      <c r="E45">
        <f>IFERROR(VLOOKUP(D45,科目表!$A:$B,2,FALSE),"")</f>
        <v/>
      </c>
      <c r="F45" s="6" t="n"/>
      <c r="G45" s="6" t="n"/>
    </row>
    <row r="46">
      <c r="E46">
        <f>IFERROR(VLOOKUP(D46,科目表!$A:$B,2,FALSE),"")</f>
        <v/>
      </c>
      <c r="F46" s="6" t="n"/>
      <c r="G46" s="6" t="n"/>
    </row>
    <row r="47">
      <c r="E47">
        <f>IFERROR(VLOOKUP(D47,科目表!$A:$B,2,FALSE),"")</f>
        <v/>
      </c>
      <c r="F47" s="6" t="n"/>
      <c r="G47" s="6" t="n"/>
    </row>
    <row r="48">
      <c r="E48">
        <f>IFERROR(VLOOKUP(D48,科目表!$A:$B,2,FALSE),"")</f>
        <v/>
      </c>
      <c r="F48" s="6" t="n"/>
      <c r="G48" s="6" t="n"/>
    </row>
    <row r="49">
      <c r="E49">
        <f>IFERROR(VLOOKUP(D49,科目表!$A:$B,2,FALSE),"")</f>
        <v/>
      </c>
      <c r="F49" s="6" t="n"/>
      <c r="G49" s="6" t="n"/>
    </row>
    <row r="50">
      <c r="E50">
        <f>IFERROR(VLOOKUP(D50,科目表!$A:$B,2,FALSE),"")</f>
        <v/>
      </c>
      <c r="F50" s="6" t="n"/>
      <c r="G50" s="6" t="n"/>
    </row>
    <row r="51">
      <c r="E51">
        <f>IFERROR(VLOOKUP(D51,科目表!$A:$B,2,FALSE),"")</f>
        <v/>
      </c>
      <c r="F51" s="6" t="n"/>
      <c r="G51" s="6" t="n"/>
    </row>
    <row r="52">
      <c r="E52">
        <f>IFERROR(VLOOKUP(D52,科目表!$A:$B,2,FALSE),"")</f>
        <v/>
      </c>
      <c r="F52" s="6" t="n"/>
      <c r="G52" s="6" t="n"/>
    </row>
    <row r="53">
      <c r="E53">
        <f>IFERROR(VLOOKUP(D53,科目表!$A:$B,2,FALSE),"")</f>
        <v/>
      </c>
      <c r="F53" s="6" t="n"/>
      <c r="G53" s="6" t="n"/>
    </row>
    <row r="54">
      <c r="E54">
        <f>IFERROR(VLOOKUP(D54,科目表!$A:$B,2,FALSE),"")</f>
        <v/>
      </c>
      <c r="F54" s="6" t="n"/>
      <c r="G54" s="6" t="n"/>
    </row>
    <row r="55">
      <c r="E55">
        <f>IFERROR(VLOOKUP(D55,科目表!$A:$B,2,FALSE),"")</f>
        <v/>
      </c>
      <c r="F55" s="6" t="n"/>
      <c r="G55" s="6" t="n"/>
    </row>
    <row r="56">
      <c r="E56">
        <f>IFERROR(VLOOKUP(D56,科目表!$A:$B,2,FALSE),"")</f>
        <v/>
      </c>
      <c r="F56" s="6" t="n"/>
      <c r="G56" s="6" t="n"/>
    </row>
    <row r="57">
      <c r="E57">
        <f>IFERROR(VLOOKUP(D57,科目表!$A:$B,2,FALSE),"")</f>
        <v/>
      </c>
      <c r="F57" s="6" t="n"/>
      <c r="G57" s="6" t="n"/>
    </row>
    <row r="58">
      <c r="E58">
        <f>IFERROR(VLOOKUP(D58,科目表!$A:$B,2,FALSE),"")</f>
        <v/>
      </c>
      <c r="F58" s="6" t="n"/>
      <c r="G58" s="6" t="n"/>
    </row>
    <row r="59">
      <c r="E59">
        <f>IFERROR(VLOOKUP(D59,科目表!$A:$B,2,FALSE),"")</f>
        <v/>
      </c>
      <c r="F59" s="6" t="n"/>
      <c r="G59" s="6" t="n"/>
    </row>
    <row r="60">
      <c r="E60">
        <f>IFERROR(VLOOKUP(D60,科目表!$A:$B,2,FALSE),"")</f>
        <v/>
      </c>
      <c r="F60" s="6" t="n"/>
      <c r="G60" s="6" t="n"/>
    </row>
    <row r="61">
      <c r="E61">
        <f>IFERROR(VLOOKUP(D61,科目表!$A:$B,2,FALSE),"")</f>
        <v/>
      </c>
      <c r="F61" s="6" t="n"/>
      <c r="G61" s="6" t="n"/>
    </row>
    <row r="62">
      <c r="E62">
        <f>IFERROR(VLOOKUP(D62,科目表!$A:$B,2,FALSE),"")</f>
        <v/>
      </c>
      <c r="F62" s="6" t="n"/>
      <c r="G62" s="6" t="n"/>
    </row>
    <row r="63">
      <c r="E63">
        <f>IFERROR(VLOOKUP(D63,科目表!$A:$B,2,FALSE),"")</f>
        <v/>
      </c>
      <c r="F63" s="6" t="n"/>
      <c r="G63" s="6" t="n"/>
    </row>
    <row r="64">
      <c r="E64">
        <f>IFERROR(VLOOKUP(D64,科目表!$A:$B,2,FALSE),"")</f>
        <v/>
      </c>
      <c r="F64" s="6" t="n"/>
      <c r="G64" s="6" t="n"/>
    </row>
    <row r="65">
      <c r="E65">
        <f>IFERROR(VLOOKUP(D65,科目表!$A:$B,2,FALSE),"")</f>
        <v/>
      </c>
      <c r="F65" s="6" t="n"/>
      <c r="G65" s="6" t="n"/>
    </row>
    <row r="66">
      <c r="E66">
        <f>IFERROR(VLOOKUP(D66,科目表!$A:$B,2,FALSE),"")</f>
        <v/>
      </c>
      <c r="F66" s="6" t="n"/>
      <c r="G66" s="6" t="n"/>
    </row>
    <row r="67">
      <c r="E67">
        <f>IFERROR(VLOOKUP(D67,科目表!$A:$B,2,FALSE),"")</f>
        <v/>
      </c>
      <c r="F67" s="6" t="n"/>
      <c r="G67" s="6" t="n"/>
    </row>
    <row r="68">
      <c r="E68">
        <f>IFERROR(VLOOKUP(D68,科目表!$A:$B,2,FALSE),"")</f>
        <v/>
      </c>
      <c r="F68" s="6" t="n"/>
      <c r="G68" s="6" t="n"/>
    </row>
    <row r="69">
      <c r="E69">
        <f>IFERROR(VLOOKUP(D69,科目表!$A:$B,2,FALSE),"")</f>
        <v/>
      </c>
      <c r="F69" s="6" t="n"/>
      <c r="G69" s="6" t="n"/>
    </row>
    <row r="70">
      <c r="E70">
        <f>IFERROR(VLOOKUP(D70,科目表!$A:$B,2,FALSE),"")</f>
        <v/>
      </c>
      <c r="F70" s="6" t="n"/>
      <c r="G70" s="6" t="n"/>
    </row>
    <row r="71">
      <c r="E71">
        <f>IFERROR(VLOOKUP(D71,科目表!$A:$B,2,FALSE),"")</f>
        <v/>
      </c>
      <c r="F71" s="6" t="n"/>
      <c r="G71" s="6" t="n"/>
    </row>
    <row r="72">
      <c r="E72">
        <f>IFERROR(VLOOKUP(D72,科目表!$A:$B,2,FALSE),"")</f>
        <v/>
      </c>
      <c r="F72" s="6" t="n"/>
      <c r="G72" s="6" t="n"/>
    </row>
    <row r="73">
      <c r="E73">
        <f>IFERROR(VLOOKUP(D73,科目表!$A:$B,2,FALSE),"")</f>
        <v/>
      </c>
      <c r="F73" s="6" t="n"/>
      <c r="G73" s="6" t="n"/>
    </row>
    <row r="74">
      <c r="E74">
        <f>IFERROR(VLOOKUP(D74,科目表!$A:$B,2,FALSE),"")</f>
        <v/>
      </c>
      <c r="F74" s="6" t="n"/>
      <c r="G74" s="6" t="n"/>
    </row>
    <row r="75">
      <c r="E75">
        <f>IFERROR(VLOOKUP(D75,科目表!$A:$B,2,FALSE),"")</f>
        <v/>
      </c>
      <c r="F75" s="6" t="n"/>
      <c r="G75" s="6" t="n"/>
    </row>
    <row r="76">
      <c r="E76">
        <f>IFERROR(VLOOKUP(D76,科目表!$A:$B,2,FALSE),"")</f>
        <v/>
      </c>
      <c r="F76" s="6" t="n"/>
      <c r="G76" s="6" t="n"/>
    </row>
    <row r="77">
      <c r="E77">
        <f>IFERROR(VLOOKUP(D77,科目表!$A:$B,2,FALSE),"")</f>
        <v/>
      </c>
      <c r="F77" s="6" t="n"/>
      <c r="G77" s="6" t="n"/>
    </row>
    <row r="78">
      <c r="E78">
        <f>IFERROR(VLOOKUP(D78,科目表!$A:$B,2,FALSE),"")</f>
        <v/>
      </c>
      <c r="F78" s="6" t="n"/>
      <c r="G78" s="6" t="n"/>
    </row>
    <row r="79">
      <c r="E79">
        <f>IFERROR(VLOOKUP(D79,科目表!$A:$B,2,FALSE),"")</f>
        <v/>
      </c>
      <c r="F79" s="6" t="n"/>
      <c r="G79" s="6" t="n"/>
    </row>
    <row r="80">
      <c r="E80">
        <f>IFERROR(VLOOKUP(D80,科目表!$A:$B,2,FALSE),"")</f>
        <v/>
      </c>
      <c r="F80" s="6" t="n"/>
      <c r="G80" s="6" t="n"/>
    </row>
    <row r="81">
      <c r="E81">
        <f>IFERROR(VLOOKUP(D81,科目表!$A:$B,2,FALSE),"")</f>
        <v/>
      </c>
      <c r="F81" s="6" t="n"/>
      <c r="G81" s="6" t="n"/>
    </row>
    <row r="82">
      <c r="E82">
        <f>IFERROR(VLOOKUP(D82,科目表!$A:$B,2,FALSE),"")</f>
        <v/>
      </c>
      <c r="F82" s="6" t="n"/>
      <c r="G82" s="6" t="n"/>
    </row>
    <row r="83">
      <c r="E83">
        <f>IFERROR(VLOOKUP(D83,科目表!$A:$B,2,FALSE),"")</f>
        <v/>
      </c>
      <c r="F83" s="6" t="n"/>
      <c r="G83" s="6" t="n"/>
    </row>
    <row r="84">
      <c r="E84">
        <f>IFERROR(VLOOKUP(D84,科目表!$A:$B,2,FALSE),"")</f>
        <v/>
      </c>
      <c r="F84" s="6" t="n"/>
      <c r="G84" s="6" t="n"/>
    </row>
    <row r="85">
      <c r="E85">
        <f>IFERROR(VLOOKUP(D85,科目表!$A:$B,2,FALSE),"")</f>
        <v/>
      </c>
      <c r="F85" s="6" t="n"/>
      <c r="G85" s="6" t="n"/>
    </row>
    <row r="86">
      <c r="E86">
        <f>IFERROR(VLOOKUP(D86,科目表!$A:$B,2,FALSE),"")</f>
        <v/>
      </c>
      <c r="F86" s="6" t="n"/>
      <c r="G86" s="6" t="n"/>
    </row>
    <row r="87">
      <c r="E87">
        <f>IFERROR(VLOOKUP(D87,科目表!$A:$B,2,FALSE),"")</f>
        <v/>
      </c>
      <c r="F87" s="6" t="n"/>
      <c r="G87" s="6" t="n"/>
    </row>
    <row r="88">
      <c r="E88">
        <f>IFERROR(VLOOKUP(D88,科目表!$A:$B,2,FALSE),"")</f>
        <v/>
      </c>
      <c r="F88" s="6" t="n"/>
      <c r="G88" s="6" t="n"/>
    </row>
    <row r="89">
      <c r="E89">
        <f>IFERROR(VLOOKUP(D89,科目表!$A:$B,2,FALSE),"")</f>
        <v/>
      </c>
      <c r="F89" s="6" t="n"/>
      <c r="G89" s="6" t="n"/>
    </row>
    <row r="90">
      <c r="E90">
        <f>IFERROR(VLOOKUP(D90,科目表!$A:$B,2,FALSE),"")</f>
        <v/>
      </c>
      <c r="F90" s="6" t="n"/>
      <c r="G90" s="6" t="n"/>
    </row>
    <row r="91">
      <c r="E91">
        <f>IFERROR(VLOOKUP(D91,科目表!$A:$B,2,FALSE),"")</f>
        <v/>
      </c>
      <c r="F91" s="6" t="n"/>
      <c r="G91" s="6" t="n"/>
    </row>
    <row r="92">
      <c r="E92">
        <f>IFERROR(VLOOKUP(D92,科目表!$A:$B,2,FALSE),"")</f>
        <v/>
      </c>
      <c r="F92" s="6" t="n"/>
      <c r="G92" s="6" t="n"/>
    </row>
    <row r="93">
      <c r="E93">
        <f>IFERROR(VLOOKUP(D93,科目表!$A:$B,2,FALSE),"")</f>
        <v/>
      </c>
      <c r="F93" s="6" t="n"/>
      <c r="G93" s="6" t="n"/>
    </row>
    <row r="94">
      <c r="E94">
        <f>IFERROR(VLOOKUP(D94,科目表!$A:$B,2,FALSE),"")</f>
        <v/>
      </c>
      <c r="F94" s="6" t="n"/>
      <c r="G94" s="6" t="n"/>
    </row>
    <row r="95">
      <c r="E95">
        <f>IFERROR(VLOOKUP(D95,科目表!$A:$B,2,FALSE),"")</f>
        <v/>
      </c>
      <c r="F95" s="6" t="n"/>
      <c r="G95" s="6" t="n"/>
    </row>
    <row r="96">
      <c r="E96">
        <f>IFERROR(VLOOKUP(D96,科目表!$A:$B,2,FALSE),"")</f>
        <v/>
      </c>
      <c r="F96" s="6" t="n"/>
      <c r="G96" s="6" t="n"/>
    </row>
    <row r="97">
      <c r="E97">
        <f>IFERROR(VLOOKUP(D97,科目表!$A:$B,2,FALSE),"")</f>
        <v/>
      </c>
      <c r="F97" s="6" t="n"/>
      <c r="G97" s="6" t="n"/>
    </row>
    <row r="98">
      <c r="E98">
        <f>IFERROR(VLOOKUP(D98,科目表!$A:$B,2,FALSE),"")</f>
        <v/>
      </c>
      <c r="F98" s="6" t="n"/>
      <c r="G98" s="6" t="n"/>
    </row>
    <row r="99">
      <c r="E99">
        <f>IFERROR(VLOOKUP(D99,科目表!$A:$B,2,FALSE),"")</f>
        <v/>
      </c>
      <c r="F99" s="6" t="n"/>
      <c r="G9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4" t="inlineStr">
        <is>
          <t>科目代號</t>
        </is>
      </c>
      <c r="B1" s="4" t="inlineStr">
        <is>
          <t>科目名稱</t>
        </is>
      </c>
      <c r="C1" s="4" t="inlineStr">
        <is>
          <t>借方合計</t>
        </is>
      </c>
      <c r="D1" s="4" t="inlineStr">
        <is>
          <t>貸方合計</t>
        </is>
      </c>
      <c r="E1" s="4" t="inlineStr">
        <is>
          <t>餘額</t>
        </is>
      </c>
      <c r="F1" s="4" t="inlineStr">
        <is>
          <t>科目類別</t>
        </is>
      </c>
    </row>
    <row r="2">
      <c r="A2" s="5" t="inlineStr">
        <is>
          <t>1111</t>
        </is>
      </c>
      <c r="B2" s="5" t="inlineStr">
        <is>
          <t>零用金</t>
        </is>
      </c>
      <c r="C2" s="6">
        <f>SUMIFS(日記簿!$F$2:$F$100,日記簿!$D$2:$D$100,A2)</f>
        <v/>
      </c>
      <c r="D2" s="6">
        <f>SUMIFS(日記簿!$G$2:$G$100,日記簿!$D$2:$D$100,A2)</f>
        <v/>
      </c>
      <c r="E2" s="6">
        <f>C2-D2</f>
        <v/>
      </c>
      <c r="F2" s="7" t="inlineStr">
        <is>
          <t>資產</t>
        </is>
      </c>
    </row>
    <row r="3">
      <c r="A3" s="5" t="inlineStr">
        <is>
          <t>1112</t>
        </is>
      </c>
      <c r="B3" s="5" t="inlineStr">
        <is>
          <t>銀行存款</t>
        </is>
      </c>
      <c r="C3" s="6">
        <f>SUMIFS(日記簿!$F$2:$F$100,日記簿!$D$2:$D$100,A3)</f>
        <v/>
      </c>
      <c r="D3" s="6">
        <f>SUMIFS(日記簿!$G$2:$G$100,日記簿!$D$2:$D$100,A3)</f>
        <v/>
      </c>
      <c r="E3" s="6">
        <f>C3-D3</f>
        <v/>
      </c>
      <c r="F3" s="7" t="inlineStr">
        <is>
          <t>資產</t>
        </is>
      </c>
    </row>
    <row r="4">
      <c r="A4" s="5" t="inlineStr">
        <is>
          <t>11121</t>
        </is>
      </c>
      <c r="B4" s="5" t="inlineStr">
        <is>
          <t>銀行存款-國泰</t>
        </is>
      </c>
      <c r="C4" s="6">
        <f>SUMIFS(日記簿!$F$2:$F$100,日記簿!$D$2:$D$100,A4)</f>
        <v/>
      </c>
      <c r="D4" s="6">
        <f>SUMIFS(日記簿!$G$2:$G$100,日記簿!$D$2:$D$100,A4)</f>
        <v/>
      </c>
      <c r="E4" s="6">
        <f>C4-D4</f>
        <v/>
      </c>
      <c r="F4" s="7" t="inlineStr">
        <is>
          <t>資產</t>
        </is>
      </c>
    </row>
    <row r="5">
      <c r="A5" s="5" t="inlineStr">
        <is>
          <t>11122</t>
        </is>
      </c>
      <c r="B5" s="5" t="inlineStr">
        <is>
          <t>銀行存款-合庫</t>
        </is>
      </c>
      <c r="C5" s="6">
        <f>SUMIFS(日記簿!$F$2:$F$100,日記簿!$D$2:$D$100,A5)</f>
        <v/>
      </c>
      <c r="D5" s="6">
        <f>SUMIFS(日記簿!$G$2:$G$100,日記簿!$D$2:$D$100,A5)</f>
        <v/>
      </c>
      <c r="E5" s="6">
        <f>C5-D5</f>
        <v/>
      </c>
      <c r="F5" s="7" t="inlineStr">
        <is>
          <t>資產</t>
        </is>
      </c>
    </row>
    <row r="6">
      <c r="A6" s="5" t="inlineStr">
        <is>
          <t>11123</t>
        </is>
      </c>
      <c r="B6" s="5" t="inlineStr">
        <is>
          <t>銀行存款-台銀活存</t>
        </is>
      </c>
      <c r="C6" s="6">
        <f>SUMIFS(日記簿!$F$2:$F$100,日記簿!$D$2:$D$100,A6)</f>
        <v/>
      </c>
      <c r="D6" s="6">
        <f>SUMIFS(日記簿!$G$2:$G$100,日記簿!$D$2:$D$100,A6)</f>
        <v/>
      </c>
      <c r="E6" s="6">
        <f>C6-D6</f>
        <v/>
      </c>
      <c r="F6" s="7" t="inlineStr">
        <is>
          <t>資產</t>
        </is>
      </c>
    </row>
    <row r="7">
      <c r="A7" s="5" t="inlineStr">
        <is>
          <t>11124</t>
        </is>
      </c>
      <c r="B7" s="5" t="inlineStr">
        <is>
          <t>銀行存款-台銀支存</t>
        </is>
      </c>
      <c r="C7" s="6">
        <f>SUMIFS(日記簿!$F$2:$F$100,日記簿!$D$2:$D$100,A7)</f>
        <v/>
      </c>
      <c r="D7" s="6">
        <f>SUMIFS(日記簿!$G$2:$G$100,日記簿!$D$2:$D$100,A7)</f>
        <v/>
      </c>
      <c r="E7" s="6">
        <f>C7-D7</f>
        <v/>
      </c>
      <c r="F7" s="7" t="inlineStr">
        <is>
          <t>資產</t>
        </is>
      </c>
    </row>
    <row r="8">
      <c r="A8" s="5" t="inlineStr">
        <is>
          <t>1113</t>
        </is>
      </c>
      <c r="B8" s="5" t="inlineStr">
        <is>
          <t>約當現金</t>
        </is>
      </c>
      <c r="C8" s="6">
        <f>SUMIFS(日記簿!$F$2:$F$100,日記簿!$D$2:$D$100,A8)</f>
        <v/>
      </c>
      <c r="D8" s="6">
        <f>SUMIFS(日記簿!$G$2:$G$100,日記簿!$D$2:$D$100,A8)</f>
        <v/>
      </c>
      <c r="E8" s="6">
        <f>C8-D8</f>
        <v/>
      </c>
      <c r="F8" s="7" t="inlineStr">
        <is>
          <t>資產</t>
        </is>
      </c>
    </row>
    <row r="9">
      <c r="A9" s="5" t="inlineStr">
        <is>
          <t>1114</t>
        </is>
      </c>
      <c r="B9" s="5" t="inlineStr">
        <is>
          <t>短期投資</t>
        </is>
      </c>
      <c r="C9" s="6">
        <f>SUMIFS(日記簿!$F$2:$F$100,日記簿!$D$2:$D$100,A9)</f>
        <v/>
      </c>
      <c r="D9" s="6">
        <f>SUMIFS(日記簿!$G$2:$G$100,日記簿!$D$2:$D$100,A9)</f>
        <v/>
      </c>
      <c r="E9" s="6">
        <f>C9-D9</f>
        <v/>
      </c>
      <c r="F9" s="7" t="inlineStr">
        <is>
          <t>資產</t>
        </is>
      </c>
    </row>
    <row r="10">
      <c r="A10" s="5" t="inlineStr">
        <is>
          <t>1151</t>
        </is>
      </c>
      <c r="B10" s="5" t="inlineStr">
        <is>
          <t>透過損益按公允價值衡量之金融資產-流動</t>
        </is>
      </c>
      <c r="C10" s="6">
        <f>SUMIFS(日記簿!$F$2:$F$100,日記簿!$D$2:$D$100,A10)</f>
        <v/>
      </c>
      <c r="D10" s="6">
        <f>SUMIFS(日記簿!$G$2:$G$100,日記簿!$D$2:$D$100,A10)</f>
        <v/>
      </c>
      <c r="E10" s="6">
        <f>C10-D10</f>
        <v/>
      </c>
      <c r="F10" s="7" t="inlineStr">
        <is>
          <t>資產</t>
        </is>
      </c>
    </row>
    <row r="11">
      <c r="A11" s="5" t="inlineStr">
        <is>
          <t>1154</t>
        </is>
      </c>
      <c r="B11" s="5" t="inlineStr">
        <is>
          <t>避險之金融資產-流動</t>
        </is>
      </c>
      <c r="C11" s="6">
        <f>SUMIFS(日記簿!$F$2:$F$100,日記簿!$D$2:$D$100,A11)</f>
        <v/>
      </c>
      <c r="D11" s="6">
        <f>SUMIFS(日記簿!$G$2:$G$100,日記簿!$D$2:$D$100,A11)</f>
        <v/>
      </c>
      <c r="E11" s="6">
        <f>C11-D11</f>
        <v/>
      </c>
      <c r="F11" s="7" t="inlineStr">
        <is>
          <t>資產</t>
        </is>
      </c>
    </row>
    <row r="12">
      <c r="A12" s="5" t="inlineStr">
        <is>
          <t>1158</t>
        </is>
      </c>
      <c r="B12" s="5" t="inlineStr">
        <is>
          <t>透過其他綜合損益按公允價值衡量之金融資產-流動</t>
        </is>
      </c>
      <c r="C12" s="6">
        <f>SUMIFS(日記簿!$F$2:$F$100,日記簿!$D$2:$D$100,A12)</f>
        <v/>
      </c>
      <c r="D12" s="6">
        <f>SUMIFS(日記簿!$G$2:$G$100,日記簿!$D$2:$D$100,A12)</f>
        <v/>
      </c>
      <c r="E12" s="6">
        <f>C12-D12</f>
        <v/>
      </c>
      <c r="F12" s="7" t="inlineStr">
        <is>
          <t>資產</t>
        </is>
      </c>
    </row>
    <row r="13">
      <c r="A13" s="5" t="inlineStr">
        <is>
          <t>1161</t>
        </is>
      </c>
      <c r="B13" s="5" t="inlineStr">
        <is>
          <t>按攤銷後成本衡量之金融資產－流動</t>
        </is>
      </c>
      <c r="C13" s="6">
        <f>SUMIFS(日記簿!$F$2:$F$100,日記簿!$D$2:$D$100,A13)</f>
        <v/>
      </c>
      <c r="D13" s="6">
        <f>SUMIFS(日記簿!$G$2:$G$100,日記簿!$D$2:$D$100,A13)</f>
        <v/>
      </c>
      <c r="E13" s="6">
        <f>C13-D13</f>
        <v/>
      </c>
      <c r="F13" s="7" t="inlineStr">
        <is>
          <t>資產</t>
        </is>
      </c>
    </row>
    <row r="14">
      <c r="A14" s="5" t="inlineStr">
        <is>
          <t>1157</t>
        </is>
      </c>
      <c r="B14" s="5" t="inlineStr">
        <is>
          <t>其他金融資產-流動</t>
        </is>
      </c>
      <c r="C14" s="6">
        <f>SUMIFS(日記簿!$F$2:$F$100,日記簿!$D$2:$D$100,A14)</f>
        <v/>
      </c>
      <c r="D14" s="6">
        <f>SUMIFS(日記簿!$G$2:$G$100,日記簿!$D$2:$D$100,A14)</f>
        <v/>
      </c>
      <c r="E14" s="6">
        <f>C14-D14</f>
        <v/>
      </c>
      <c r="F14" s="7" t="inlineStr">
        <is>
          <t>資產</t>
        </is>
      </c>
    </row>
    <row r="15">
      <c r="A15" s="5" t="inlineStr">
        <is>
          <t>1159</t>
        </is>
      </c>
      <c r="B15" s="5" t="inlineStr">
        <is>
          <t>減:累計減損-金融資產-流動</t>
        </is>
      </c>
      <c r="C15" s="6">
        <f>SUMIFS(日記簿!$F$2:$F$100,日記簿!$D$2:$D$100,A15)</f>
        <v/>
      </c>
      <c r="D15" s="6">
        <f>SUMIFS(日記簿!$G$2:$G$100,日記簿!$D$2:$D$100,A15)</f>
        <v/>
      </c>
      <c r="E15" s="6">
        <f>D15-C15</f>
        <v/>
      </c>
      <c r="F15" s="7" t="inlineStr">
        <is>
          <t>資產</t>
        </is>
      </c>
    </row>
    <row r="16">
      <c r="A16" s="5" t="inlineStr">
        <is>
          <t>1125</t>
        </is>
      </c>
      <c r="B16" s="5" t="inlineStr">
        <is>
          <t>合約資產-流動</t>
        </is>
      </c>
      <c r="C16" s="6">
        <f>SUMIFS(日記簿!$F$2:$F$100,日記簿!$D$2:$D$100,A16)</f>
        <v/>
      </c>
      <c r="D16" s="6">
        <f>SUMIFS(日記簿!$G$2:$G$100,日記簿!$D$2:$D$100,A16)</f>
        <v/>
      </c>
      <c r="E16" s="6">
        <f>C16-D16</f>
        <v/>
      </c>
      <c r="F16" s="7" t="inlineStr">
        <is>
          <t>資產</t>
        </is>
      </c>
    </row>
    <row r="17">
      <c r="A17" s="5" t="inlineStr">
        <is>
          <t>1126</t>
        </is>
      </c>
      <c r="B17" s="5" t="inlineStr">
        <is>
          <t>減:累計減損-合約資產-流動</t>
        </is>
      </c>
      <c r="C17" s="6">
        <f>SUMIFS(日記簿!$F$2:$F$100,日記簿!$D$2:$D$100,A17)</f>
        <v/>
      </c>
      <c r="D17" s="6">
        <f>SUMIFS(日記簿!$G$2:$G$100,日記簿!$D$2:$D$100,A17)</f>
        <v/>
      </c>
      <c r="E17" s="6">
        <f>D17-C17</f>
        <v/>
      </c>
      <c r="F17" s="7" t="inlineStr">
        <is>
          <t>資產</t>
        </is>
      </c>
    </row>
    <row r="18">
      <c r="A18" s="5" t="inlineStr">
        <is>
          <t>1121</t>
        </is>
      </c>
      <c r="B18" s="5" t="inlineStr">
        <is>
          <t>應收票據</t>
        </is>
      </c>
      <c r="C18" s="6">
        <f>SUMIFS(日記簿!$F$2:$F$100,日記簿!$D$2:$D$100,A18)</f>
        <v/>
      </c>
      <c r="D18" s="6">
        <f>SUMIFS(日記簿!$G$2:$G$100,日記簿!$D$2:$D$100,A18)</f>
        <v/>
      </c>
      <c r="E18" s="6">
        <f>C18-D18</f>
        <v/>
      </c>
      <c r="F18" s="7" t="inlineStr">
        <is>
          <t>資產</t>
        </is>
      </c>
    </row>
    <row r="19">
      <c r="A19" s="5" t="inlineStr">
        <is>
          <t>1122</t>
        </is>
      </c>
      <c r="B19" s="5" t="inlineStr">
        <is>
          <t>減:備抵呆帳-應收票據</t>
        </is>
      </c>
      <c r="C19" s="6">
        <f>SUMIFS(日記簿!$F$2:$F$100,日記簿!$D$2:$D$100,A19)</f>
        <v/>
      </c>
      <c r="D19" s="6">
        <f>SUMIFS(日記簿!$G$2:$G$100,日記簿!$D$2:$D$100,A19)</f>
        <v/>
      </c>
      <c r="E19" s="6">
        <f>D19-C19</f>
        <v/>
      </c>
      <c r="F19" s="7" t="inlineStr">
        <is>
          <t>資產</t>
        </is>
      </c>
    </row>
    <row r="20">
      <c r="A20" s="5" t="inlineStr">
        <is>
          <t>1123</t>
        </is>
      </c>
      <c r="B20" s="5" t="inlineStr">
        <is>
          <t>應收帳款</t>
        </is>
      </c>
      <c r="C20" s="6">
        <f>SUMIFS(日記簿!$F$2:$F$100,日記簿!$D$2:$D$100,A20)</f>
        <v/>
      </c>
      <c r="D20" s="6">
        <f>SUMIFS(日記簿!$G$2:$G$100,日記簿!$D$2:$D$100,A20)</f>
        <v/>
      </c>
      <c r="E20" s="6">
        <f>C20-D20</f>
        <v/>
      </c>
      <c r="F20" s="7" t="inlineStr">
        <is>
          <t>資產</t>
        </is>
      </c>
    </row>
    <row r="21">
      <c r="A21" s="5" t="inlineStr">
        <is>
          <t>1124</t>
        </is>
      </c>
      <c r="B21" s="5" t="inlineStr">
        <is>
          <t>減:備抵呆帳-應收帳款</t>
        </is>
      </c>
      <c r="C21" s="6">
        <f>SUMIFS(日記簿!$F$2:$F$100,日記簿!$D$2:$D$100,A21)</f>
        <v/>
      </c>
      <c r="D21" s="6">
        <f>SUMIFS(日記簿!$G$2:$G$100,日記簿!$D$2:$D$100,A21)</f>
        <v/>
      </c>
      <c r="E21" s="6">
        <f>D21-C21</f>
        <v/>
      </c>
      <c r="F21" s="7" t="inlineStr">
        <is>
          <t>資產</t>
        </is>
      </c>
    </row>
    <row r="22">
      <c r="A22" s="5" t="inlineStr">
        <is>
          <t>1129</t>
        </is>
      </c>
      <c r="B22" s="5" t="inlineStr">
        <is>
          <t>其他應收款</t>
        </is>
      </c>
      <c r="C22" s="6">
        <f>SUMIFS(日記簿!$F$2:$F$100,日記簿!$D$2:$D$100,A22)</f>
        <v/>
      </c>
      <c r="D22" s="6">
        <f>SUMIFS(日記簿!$G$2:$G$100,日記簿!$D$2:$D$100,A22)</f>
        <v/>
      </c>
      <c r="E22" s="6">
        <f>C22-D22</f>
        <v/>
      </c>
      <c r="F22" s="7" t="inlineStr">
        <is>
          <t>資產</t>
        </is>
      </c>
    </row>
    <row r="23">
      <c r="A23" s="5" t="inlineStr">
        <is>
          <t>1131</t>
        </is>
      </c>
      <c r="B23" s="5" t="inlineStr">
        <is>
          <t>商品</t>
        </is>
      </c>
      <c r="C23" s="6">
        <f>SUMIFS(日記簿!$F$2:$F$100,日記簿!$D$2:$D$100,A23)</f>
        <v/>
      </c>
      <c r="D23" s="6">
        <f>SUMIFS(日記簿!$G$2:$G$100,日記簿!$D$2:$D$100,A23)</f>
        <v/>
      </c>
      <c r="E23" s="6">
        <f>C23-D23</f>
        <v/>
      </c>
      <c r="F23" s="7" t="inlineStr">
        <is>
          <t>資產</t>
        </is>
      </c>
    </row>
    <row r="24">
      <c r="A24" s="5" t="inlineStr">
        <is>
          <t>1132</t>
        </is>
      </c>
      <c r="B24" s="5" t="inlineStr">
        <is>
          <t>製成品</t>
        </is>
      </c>
      <c r="C24" s="6">
        <f>SUMIFS(日記簿!$F$2:$F$100,日記簿!$D$2:$D$100,A24)</f>
        <v/>
      </c>
      <c r="D24" s="6">
        <f>SUMIFS(日記簿!$G$2:$G$100,日記簿!$D$2:$D$100,A24)</f>
        <v/>
      </c>
      <c r="E24" s="6">
        <f>C24-D24</f>
        <v/>
      </c>
      <c r="F24" s="7" t="inlineStr">
        <is>
          <t>資產</t>
        </is>
      </c>
    </row>
    <row r="25">
      <c r="A25" s="5" t="inlineStr">
        <is>
          <t>1133</t>
        </is>
      </c>
      <c r="B25" s="5" t="inlineStr">
        <is>
          <t>在製品</t>
        </is>
      </c>
      <c r="C25" s="6">
        <f>SUMIFS(日記簿!$F$2:$F$100,日記簿!$D$2:$D$100,A25)</f>
        <v/>
      </c>
      <c r="D25" s="6">
        <f>SUMIFS(日記簿!$G$2:$G$100,日記簿!$D$2:$D$100,A25)</f>
        <v/>
      </c>
      <c r="E25" s="6">
        <f>C25-D25</f>
        <v/>
      </c>
      <c r="F25" s="7" t="inlineStr">
        <is>
          <t>資產</t>
        </is>
      </c>
    </row>
    <row r="26">
      <c r="A26" s="5" t="inlineStr">
        <is>
          <t>1134</t>
        </is>
      </c>
      <c r="B26" s="5" t="inlineStr">
        <is>
          <t>原料</t>
        </is>
      </c>
      <c r="C26" s="6">
        <f>SUMIFS(日記簿!$F$2:$F$100,日記簿!$D$2:$D$100,A26)</f>
        <v/>
      </c>
      <c r="D26" s="6">
        <f>SUMIFS(日記簿!$G$2:$G$100,日記簿!$D$2:$D$100,A26)</f>
        <v/>
      </c>
      <c r="E26" s="6">
        <f>C26-D26</f>
        <v/>
      </c>
      <c r="F26" s="7" t="inlineStr">
        <is>
          <t>資產</t>
        </is>
      </c>
    </row>
    <row r="27">
      <c r="A27" s="5" t="inlineStr">
        <is>
          <t>1135</t>
        </is>
      </c>
      <c r="B27" s="5" t="inlineStr">
        <is>
          <t>物料</t>
        </is>
      </c>
      <c r="C27" s="6">
        <f>SUMIFS(日記簿!$F$2:$F$100,日記簿!$D$2:$D$100,A27)</f>
        <v/>
      </c>
      <c r="D27" s="6">
        <f>SUMIFS(日記簿!$G$2:$G$100,日記簿!$D$2:$D$100,A27)</f>
        <v/>
      </c>
      <c r="E27" s="6">
        <f>C27-D27</f>
        <v/>
      </c>
      <c r="F27" s="7" t="inlineStr">
        <is>
          <t>資產</t>
        </is>
      </c>
    </row>
    <row r="28">
      <c r="A28" s="5" t="inlineStr">
        <is>
          <t>1136</t>
        </is>
      </c>
      <c r="B28" s="5" t="inlineStr">
        <is>
          <t>寄銷品</t>
        </is>
      </c>
      <c r="C28" s="6">
        <f>SUMIFS(日記簿!$F$2:$F$100,日記簿!$D$2:$D$100,A28)</f>
        <v/>
      </c>
      <c r="D28" s="6">
        <f>SUMIFS(日記簿!$G$2:$G$100,日記簿!$D$2:$D$100,A28)</f>
        <v/>
      </c>
      <c r="E28" s="6">
        <f>C28-D28</f>
        <v/>
      </c>
      <c r="F28" s="7" t="inlineStr">
        <is>
          <t>資產</t>
        </is>
      </c>
    </row>
    <row r="29">
      <c r="A29" s="5" t="inlineStr">
        <is>
          <t>1138</t>
        </is>
      </c>
      <c r="B29" s="5" t="inlineStr">
        <is>
          <t>其他存貨</t>
        </is>
      </c>
      <c r="C29" s="6">
        <f>SUMIFS(日記簿!$F$2:$F$100,日記簿!$D$2:$D$100,A29)</f>
        <v/>
      </c>
      <c r="D29" s="6">
        <f>SUMIFS(日記簿!$G$2:$G$100,日記簿!$D$2:$D$100,A29)</f>
        <v/>
      </c>
      <c r="E29" s="6">
        <f>C29-D29</f>
        <v/>
      </c>
      <c r="F29" s="7" t="inlineStr">
        <is>
          <t>資產</t>
        </is>
      </c>
    </row>
    <row r="30">
      <c r="A30" s="5" t="inlineStr">
        <is>
          <t>1137</t>
        </is>
      </c>
      <c r="B30" s="5" t="inlineStr">
        <is>
          <t>備抵存貨跌價損失</t>
        </is>
      </c>
      <c r="C30" s="6">
        <f>SUMIFS(日記簿!$F$2:$F$100,日記簿!$D$2:$D$100,A30)</f>
        <v/>
      </c>
      <c r="D30" s="6">
        <f>SUMIFS(日記簿!$G$2:$G$100,日記簿!$D$2:$D$100,A30)</f>
        <v/>
      </c>
      <c r="E30" s="6">
        <f>D30-C30</f>
        <v/>
      </c>
      <c r="F30" s="7" t="inlineStr">
        <is>
          <t>資產</t>
        </is>
      </c>
    </row>
    <row r="31">
      <c r="A31" s="5" t="inlineStr">
        <is>
          <t>1141</t>
        </is>
      </c>
      <c r="B31" s="5" t="inlineStr">
        <is>
          <t>預付費用</t>
        </is>
      </c>
      <c r="C31" s="6">
        <f>SUMIFS(日記簿!$F$2:$F$100,日記簿!$D$2:$D$100,A31)</f>
        <v/>
      </c>
      <c r="D31" s="6">
        <f>SUMIFS(日記簿!$G$2:$G$100,日記簿!$D$2:$D$100,A31)</f>
        <v/>
      </c>
      <c r="E31" s="6">
        <f>C31-D31</f>
        <v/>
      </c>
      <c r="F31" s="7" t="inlineStr">
        <is>
          <t>資產</t>
        </is>
      </c>
    </row>
    <row r="32">
      <c r="A32" s="5" t="inlineStr">
        <is>
          <t>1142</t>
        </is>
      </c>
      <c r="B32" s="5" t="inlineStr">
        <is>
          <t>用品盤存</t>
        </is>
      </c>
      <c r="C32" s="6">
        <f>SUMIFS(日記簿!$F$2:$F$100,日記簿!$D$2:$D$100,A32)</f>
        <v/>
      </c>
      <c r="D32" s="6">
        <f>SUMIFS(日記簿!$G$2:$G$100,日記簿!$D$2:$D$100,A32)</f>
        <v/>
      </c>
      <c r="E32" s="6">
        <f>C32-D32</f>
        <v/>
      </c>
      <c r="F32" s="7" t="inlineStr">
        <is>
          <t>資產</t>
        </is>
      </c>
    </row>
    <row r="33">
      <c r="A33" s="5" t="inlineStr">
        <is>
          <t>1143</t>
        </is>
      </c>
      <c r="B33" s="5" t="inlineStr">
        <is>
          <t>預付貨款</t>
        </is>
      </c>
      <c r="C33" s="6">
        <f>SUMIFS(日記簿!$F$2:$F$100,日記簿!$D$2:$D$100,A33)</f>
        <v/>
      </c>
      <c r="D33" s="6">
        <f>SUMIFS(日記簿!$G$2:$G$100,日記簿!$D$2:$D$100,A33)</f>
        <v/>
      </c>
      <c r="E33" s="6">
        <f>C33-D33</f>
        <v/>
      </c>
      <c r="F33" s="7" t="inlineStr">
        <is>
          <t>資產</t>
        </is>
      </c>
    </row>
    <row r="34">
      <c r="A34" s="5" t="inlineStr">
        <is>
          <t>1144</t>
        </is>
      </c>
      <c r="B34" s="5" t="inlineStr">
        <is>
          <t>進項稅額</t>
        </is>
      </c>
      <c r="C34" s="6">
        <f>SUMIFS(日記簿!$F$2:$F$100,日記簿!$D$2:$D$100,A34)</f>
        <v/>
      </c>
      <c r="D34" s="6">
        <f>SUMIFS(日記簿!$G$2:$G$100,日記簿!$D$2:$D$100,A34)</f>
        <v/>
      </c>
      <c r="E34" s="6">
        <f>C34-D34</f>
        <v/>
      </c>
      <c r="F34" s="7" t="inlineStr">
        <is>
          <t>資產</t>
        </is>
      </c>
    </row>
    <row r="35">
      <c r="A35" s="5" t="inlineStr">
        <is>
          <t>1145</t>
        </is>
      </c>
      <c r="B35" s="5" t="inlineStr">
        <is>
          <t>留抵稅額</t>
        </is>
      </c>
      <c r="C35" s="6">
        <f>SUMIFS(日記簿!$F$2:$F$100,日記簿!$D$2:$D$100,A35)</f>
        <v/>
      </c>
      <c r="D35" s="6">
        <f>SUMIFS(日記簿!$G$2:$G$100,日記簿!$D$2:$D$100,A35)</f>
        <v/>
      </c>
      <c r="E35" s="6">
        <f>C35-D35</f>
        <v/>
      </c>
      <c r="F35" s="7" t="inlineStr">
        <is>
          <t>資產</t>
        </is>
      </c>
    </row>
    <row r="36">
      <c r="A36" s="5" t="inlineStr">
        <is>
          <t>1149</t>
        </is>
      </c>
      <c r="B36" s="5" t="inlineStr">
        <is>
          <t>其他預付款</t>
        </is>
      </c>
      <c r="C36" s="6">
        <f>SUMIFS(日記簿!$F$2:$F$100,日記簿!$D$2:$D$100,A36)</f>
        <v/>
      </c>
      <c r="D36" s="6">
        <f>SUMIFS(日記簿!$G$2:$G$100,日記簿!$D$2:$D$100,A36)</f>
        <v/>
      </c>
      <c r="E36" s="6">
        <f>C36-D36</f>
        <v/>
      </c>
      <c r="F36" s="7" t="inlineStr">
        <is>
          <t>資產</t>
        </is>
      </c>
    </row>
    <row r="37">
      <c r="A37" s="5" t="inlineStr">
        <is>
          <t>1191</t>
        </is>
      </c>
      <c r="B37" s="5" t="inlineStr">
        <is>
          <t>暫付款</t>
        </is>
      </c>
      <c r="C37" s="6">
        <f>SUMIFS(日記簿!$F$2:$F$100,日記簿!$D$2:$D$100,A37)</f>
        <v/>
      </c>
      <c r="D37" s="6">
        <f>SUMIFS(日記簿!$G$2:$G$100,日記簿!$D$2:$D$100,A37)</f>
        <v/>
      </c>
      <c r="E37" s="6">
        <f>C37-D37</f>
        <v/>
      </c>
      <c r="F37" s="7" t="inlineStr">
        <is>
          <t>資產</t>
        </is>
      </c>
    </row>
    <row r="38">
      <c r="A38" s="5" t="inlineStr">
        <is>
          <t>1192</t>
        </is>
      </c>
      <c r="B38" s="5" t="inlineStr">
        <is>
          <t>股東往來</t>
        </is>
      </c>
      <c r="C38" s="6">
        <f>SUMIFS(日記簿!$F$2:$F$100,日記簿!$D$2:$D$100,A38)</f>
        <v/>
      </c>
      <c r="D38" s="6">
        <f>SUMIFS(日記簿!$G$2:$G$100,日記簿!$D$2:$D$100,A38)</f>
        <v/>
      </c>
      <c r="E38" s="6">
        <f>C38-D38</f>
        <v/>
      </c>
      <c r="F38" s="7" t="inlineStr">
        <is>
          <t>資產</t>
        </is>
      </c>
    </row>
    <row r="39">
      <c r="A39" s="5" t="inlineStr">
        <is>
          <t>1193</t>
        </is>
      </c>
      <c r="B39" s="5" t="inlineStr">
        <is>
          <t>同業往來</t>
        </is>
      </c>
      <c r="C39" s="6">
        <f>SUMIFS(日記簿!$F$2:$F$100,日記簿!$D$2:$D$100,A39)</f>
        <v/>
      </c>
      <c r="D39" s="6">
        <f>SUMIFS(日記簿!$G$2:$G$100,日記簿!$D$2:$D$100,A39)</f>
        <v/>
      </c>
      <c r="E39" s="6">
        <f>C39-D39</f>
        <v/>
      </c>
      <c r="F39" s="7" t="inlineStr">
        <is>
          <t>資產</t>
        </is>
      </c>
    </row>
    <row r="40">
      <c r="A40" s="5" t="inlineStr">
        <is>
          <t>1199</t>
        </is>
      </c>
      <c r="B40" s="5" t="inlineStr">
        <is>
          <t>其他流動資產-其他</t>
        </is>
      </c>
      <c r="C40" s="6">
        <f>SUMIFS(日記簿!$F$2:$F$100,日記簿!$D$2:$D$100,A40)</f>
        <v/>
      </c>
      <c r="D40" s="6">
        <f>SUMIFS(日記簿!$G$2:$G$100,日記簿!$D$2:$D$100,A40)</f>
        <v/>
      </c>
      <c r="E40" s="6">
        <f>C40-D40</f>
        <v/>
      </c>
      <c r="F40" s="7" t="inlineStr">
        <is>
          <t>資產</t>
        </is>
      </c>
    </row>
    <row r="41">
      <c r="A41" s="5" t="inlineStr">
        <is>
          <t>1300</t>
        </is>
      </c>
      <c r="B41" s="5" t="inlineStr">
        <is>
          <t>長期性之投資</t>
        </is>
      </c>
      <c r="C41" s="6">
        <f>SUMIFS(日記簿!$F$2:$F$100,日記簿!$D$2:$D$100,A41)</f>
        <v/>
      </c>
      <c r="D41" s="6">
        <f>SUMIFS(日記簿!$G$2:$G$100,日記簿!$D$2:$D$100,A41)</f>
        <v/>
      </c>
      <c r="E41" s="6">
        <f>C41-D41</f>
        <v/>
      </c>
      <c r="F41" s="7" t="inlineStr">
        <is>
          <t>資產</t>
        </is>
      </c>
    </row>
    <row r="42">
      <c r="A42" s="5" t="inlineStr">
        <is>
          <t>1415</t>
        </is>
      </c>
      <c r="B42" s="5" t="inlineStr">
        <is>
          <t>減:累計減損-長期性之投資</t>
        </is>
      </c>
      <c r="C42" s="6">
        <f>SUMIFS(日記簿!$F$2:$F$100,日記簿!$D$2:$D$100,A42)</f>
        <v/>
      </c>
      <c r="D42" s="6">
        <f>SUMIFS(日記簿!$G$2:$G$100,日記簿!$D$2:$D$100,A42)</f>
        <v/>
      </c>
      <c r="E42" s="6">
        <f>D42-C42</f>
        <v/>
      </c>
      <c r="F42" s="7" t="inlineStr">
        <is>
          <t>資產</t>
        </is>
      </c>
    </row>
    <row r="43">
      <c r="A43" s="5" t="inlineStr">
        <is>
          <t>1612</t>
        </is>
      </c>
      <c r="B43" s="5" t="inlineStr">
        <is>
          <t>透過損益按公允價值衡量之金融資產-非流動</t>
        </is>
      </c>
      <c r="C43" s="6">
        <f>SUMIFS(日記簿!$F$2:$F$100,日記簿!$D$2:$D$100,A43)</f>
        <v/>
      </c>
      <c r="D43" s="6">
        <f>SUMIFS(日記簿!$G$2:$G$100,日記簿!$D$2:$D$100,A43)</f>
        <v/>
      </c>
      <c r="E43" s="6">
        <f>C43-D43</f>
        <v/>
      </c>
      <c r="F43" s="7" t="inlineStr">
        <is>
          <t>資產</t>
        </is>
      </c>
    </row>
    <row r="44">
      <c r="A44" s="5" t="inlineStr">
        <is>
          <t>1615</t>
        </is>
      </c>
      <c r="B44" s="5" t="inlineStr">
        <is>
          <t>避險之金融資產-非流動</t>
        </is>
      </c>
      <c r="C44" s="6">
        <f>SUMIFS(日記簿!$F$2:$F$100,日記簿!$D$2:$D$100,A44)</f>
        <v/>
      </c>
      <c r="D44" s="6">
        <f>SUMIFS(日記簿!$G$2:$G$100,日記簿!$D$2:$D$100,A44)</f>
        <v/>
      </c>
      <c r="E44" s="6">
        <f>C44-D44</f>
        <v/>
      </c>
      <c r="F44" s="7" t="inlineStr">
        <is>
          <t>資產</t>
        </is>
      </c>
    </row>
    <row r="45">
      <c r="A45" s="5" t="inlineStr">
        <is>
          <t>1621</t>
        </is>
      </c>
      <c r="B45" s="5" t="inlineStr">
        <is>
          <t>透過其他綜合損益按公允價值衡量之金融資產-非流動</t>
        </is>
      </c>
      <c r="C45" s="6">
        <f>SUMIFS(日記簿!$F$2:$F$100,日記簿!$D$2:$D$100,A45)</f>
        <v/>
      </c>
      <c r="D45" s="6">
        <f>SUMIFS(日記簿!$G$2:$G$100,日記簿!$D$2:$D$100,A45)</f>
        <v/>
      </c>
      <c r="E45" s="6">
        <f>C45-D45</f>
        <v/>
      </c>
      <c r="F45" s="7" t="inlineStr">
        <is>
          <t>資產</t>
        </is>
      </c>
    </row>
    <row r="46">
      <c r="A46" s="5" t="inlineStr">
        <is>
          <t>1622</t>
        </is>
      </c>
      <c r="B46" s="5" t="inlineStr">
        <is>
          <t>按攤銷後成本衡量之金融資產－非流動</t>
        </is>
      </c>
      <c r="C46" s="6">
        <f>SUMIFS(日記簿!$F$2:$F$100,日記簿!$D$2:$D$100,A46)</f>
        <v/>
      </c>
      <c r="D46" s="6">
        <f>SUMIFS(日記簿!$G$2:$G$100,日記簿!$D$2:$D$100,A46)</f>
        <v/>
      </c>
      <c r="E46" s="6">
        <f>C46-D46</f>
        <v/>
      </c>
      <c r="F46" s="7" t="inlineStr">
        <is>
          <t>資產</t>
        </is>
      </c>
    </row>
    <row r="47">
      <c r="A47" s="5" t="inlineStr">
        <is>
          <t>1618</t>
        </is>
      </c>
      <c r="B47" s="5" t="inlineStr">
        <is>
          <t>其他金融資產-非流動</t>
        </is>
      </c>
      <c r="C47" s="6">
        <f>SUMIFS(日記簿!$F$2:$F$100,日記簿!$D$2:$D$100,A47)</f>
        <v/>
      </c>
      <c r="D47" s="6">
        <f>SUMIFS(日記簿!$G$2:$G$100,日記簿!$D$2:$D$100,A47)</f>
        <v/>
      </c>
      <c r="E47" s="6">
        <f>C47-D47</f>
        <v/>
      </c>
      <c r="F47" s="7" t="inlineStr">
        <is>
          <t>資產</t>
        </is>
      </c>
    </row>
    <row r="48">
      <c r="A48" s="5" t="inlineStr">
        <is>
          <t>1630</t>
        </is>
      </c>
      <c r="B48" s="5" t="inlineStr">
        <is>
          <t>採用權益法之投資</t>
        </is>
      </c>
      <c r="C48" s="6">
        <f>SUMIFS(日記簿!$F$2:$F$100,日記簿!$D$2:$D$100,A48)</f>
        <v/>
      </c>
      <c r="D48" s="6">
        <f>SUMIFS(日記簿!$G$2:$G$100,日記簿!$D$2:$D$100,A48)</f>
        <v/>
      </c>
      <c r="E48" s="6">
        <f>C48-D48</f>
        <v/>
      </c>
      <c r="F48" s="7" t="inlineStr">
        <is>
          <t>資產</t>
        </is>
      </c>
    </row>
    <row r="49">
      <c r="A49" s="5" t="inlineStr">
        <is>
          <t>1631</t>
        </is>
      </c>
      <c r="B49" s="5" t="inlineStr">
        <is>
          <t>減:累計減損-金融資產-非流動</t>
        </is>
      </c>
      <c r="C49" s="6">
        <f>SUMIFS(日記簿!$F$2:$F$100,日記簿!$D$2:$D$100,A49)</f>
        <v/>
      </c>
      <c r="D49" s="6">
        <f>SUMIFS(日記簿!$G$2:$G$100,日記簿!$D$2:$D$100,A49)</f>
        <v/>
      </c>
      <c r="E49" s="6">
        <f>D49-C49</f>
        <v/>
      </c>
      <c r="F49" s="7" t="inlineStr">
        <is>
          <t>資產</t>
        </is>
      </c>
    </row>
    <row r="50">
      <c r="A50" s="5" t="inlineStr">
        <is>
          <t>1640</t>
        </is>
      </c>
      <c r="B50" s="5" t="inlineStr">
        <is>
          <t>合約資產-非流動</t>
        </is>
      </c>
      <c r="C50" s="6">
        <f>SUMIFS(日記簿!$F$2:$F$100,日記簿!$D$2:$D$100,A50)</f>
        <v/>
      </c>
      <c r="D50" s="6">
        <f>SUMIFS(日記簿!$G$2:$G$100,日記簿!$D$2:$D$100,A50)</f>
        <v/>
      </c>
      <c r="E50" s="6">
        <f>C50-D50</f>
        <v/>
      </c>
      <c r="F50" s="7" t="inlineStr">
        <is>
          <t>資產</t>
        </is>
      </c>
    </row>
    <row r="51">
      <c r="A51" s="5" t="inlineStr">
        <is>
          <t>1641</t>
        </is>
      </c>
      <c r="B51" s="5" t="inlineStr">
        <is>
          <t>減:累計減損-合約資產-非流動</t>
        </is>
      </c>
      <c r="C51" s="6">
        <f>SUMIFS(日記簿!$F$2:$F$100,日記簿!$D$2:$D$100,A51)</f>
        <v/>
      </c>
      <c r="D51" s="6">
        <f>SUMIFS(日記簿!$G$2:$G$100,日記簿!$D$2:$D$100,A51)</f>
        <v/>
      </c>
      <c r="E51" s="6">
        <f>D51-C51</f>
        <v/>
      </c>
      <c r="F51" s="7" t="inlineStr">
        <is>
          <t>資產</t>
        </is>
      </c>
    </row>
    <row r="52">
      <c r="A52" s="5" t="inlineStr">
        <is>
          <t>1410</t>
        </is>
      </c>
      <c r="B52" s="5" t="inlineStr">
        <is>
          <t>土地</t>
        </is>
      </c>
      <c r="C52" s="6">
        <f>SUMIFS(日記簿!$F$2:$F$100,日記簿!$D$2:$D$100,A52)</f>
        <v/>
      </c>
      <c r="D52" s="6">
        <f>SUMIFS(日記簿!$G$2:$G$100,日記簿!$D$2:$D$100,A52)</f>
        <v/>
      </c>
      <c r="E52" s="6">
        <f>C52-D52</f>
        <v/>
      </c>
      <c r="F52" s="7" t="inlineStr">
        <is>
          <t>資產</t>
        </is>
      </c>
    </row>
    <row r="53">
      <c r="A53" s="5" t="inlineStr">
        <is>
          <t>1411</t>
        </is>
      </c>
      <c r="B53" s="5" t="inlineStr">
        <is>
          <t>減:累計減損-土地</t>
        </is>
      </c>
      <c r="C53" s="6">
        <f>SUMIFS(日記簿!$F$2:$F$100,日記簿!$D$2:$D$100,A53)</f>
        <v/>
      </c>
      <c r="D53" s="6">
        <f>SUMIFS(日記簿!$G$2:$G$100,日記簿!$D$2:$D$100,A53)</f>
        <v/>
      </c>
      <c r="E53" s="6">
        <f>D53-C53</f>
        <v/>
      </c>
      <c r="F53" s="7" t="inlineStr">
        <is>
          <t>資產</t>
        </is>
      </c>
    </row>
    <row r="54">
      <c r="A54" s="5" t="inlineStr">
        <is>
          <t>1431</t>
        </is>
      </c>
      <c r="B54" s="5" t="inlineStr">
        <is>
          <t>房屋及建築</t>
        </is>
      </c>
      <c r="C54" s="6">
        <f>SUMIFS(日記簿!$F$2:$F$100,日記簿!$D$2:$D$100,A54)</f>
        <v/>
      </c>
      <c r="D54" s="6">
        <f>SUMIFS(日記簿!$G$2:$G$100,日記簿!$D$2:$D$100,A54)</f>
        <v/>
      </c>
      <c r="E54" s="6">
        <f>C54-D54</f>
        <v/>
      </c>
      <c r="F54" s="7" t="inlineStr">
        <is>
          <t>資產</t>
        </is>
      </c>
    </row>
    <row r="55">
      <c r="A55" s="5" t="inlineStr">
        <is>
          <t>1432</t>
        </is>
      </c>
      <c r="B55" s="5" t="inlineStr">
        <is>
          <t>減:累計折舊-房屋及建築</t>
        </is>
      </c>
      <c r="C55" s="6">
        <f>SUMIFS(日記簿!$F$2:$F$100,日記簿!$D$2:$D$100,A55)</f>
        <v/>
      </c>
      <c r="D55" s="6">
        <f>SUMIFS(日記簿!$G$2:$G$100,日記簿!$D$2:$D$100,A55)</f>
        <v/>
      </c>
      <c r="E55" s="6">
        <f>D55-C55</f>
        <v/>
      </c>
      <c r="F55" s="7" t="inlineStr">
        <is>
          <t>資產</t>
        </is>
      </c>
    </row>
    <row r="56">
      <c r="A56" s="5" t="inlineStr">
        <is>
          <t>1433</t>
        </is>
      </c>
      <c r="B56" s="5" t="inlineStr">
        <is>
          <t>減:累計減損-房屋及建築</t>
        </is>
      </c>
      <c r="C56" s="6">
        <f>SUMIFS(日記簿!$F$2:$F$100,日記簿!$D$2:$D$100,A56)</f>
        <v/>
      </c>
      <c r="D56" s="6">
        <f>SUMIFS(日記簿!$G$2:$G$100,日記簿!$D$2:$D$100,A56)</f>
        <v/>
      </c>
      <c r="E56" s="6">
        <f>D56-C56</f>
        <v/>
      </c>
      <c r="F56" s="7" t="inlineStr">
        <is>
          <t>資產</t>
        </is>
      </c>
    </row>
    <row r="57">
      <c r="A57" s="5" t="inlineStr">
        <is>
          <t>1441</t>
        </is>
      </c>
      <c r="B57" s="5" t="inlineStr">
        <is>
          <t>機器設備</t>
        </is>
      </c>
      <c r="C57" s="6">
        <f>SUMIFS(日記簿!$F$2:$F$100,日記簿!$D$2:$D$100,A57)</f>
        <v/>
      </c>
      <c r="D57" s="6">
        <f>SUMIFS(日記簿!$G$2:$G$100,日記簿!$D$2:$D$100,A57)</f>
        <v/>
      </c>
      <c r="E57" s="6">
        <f>C57-D57</f>
        <v/>
      </c>
      <c r="F57" s="7" t="inlineStr">
        <is>
          <t>資產</t>
        </is>
      </c>
    </row>
    <row r="58">
      <c r="A58" s="5" t="inlineStr">
        <is>
          <t>1442</t>
        </is>
      </c>
      <c r="B58" s="5" t="inlineStr">
        <is>
          <t>減:累計折舊-機器設備</t>
        </is>
      </c>
      <c r="C58" s="6">
        <f>SUMIFS(日記簿!$F$2:$F$100,日記簿!$D$2:$D$100,A58)</f>
        <v/>
      </c>
      <c r="D58" s="6">
        <f>SUMIFS(日記簿!$G$2:$G$100,日記簿!$D$2:$D$100,A58)</f>
        <v/>
      </c>
      <c r="E58" s="6">
        <f>D58-C58</f>
        <v/>
      </c>
      <c r="F58" s="7" t="inlineStr">
        <is>
          <t>資產</t>
        </is>
      </c>
    </row>
    <row r="59">
      <c r="A59" s="5" t="inlineStr">
        <is>
          <t>1443</t>
        </is>
      </c>
      <c r="B59" s="5" t="inlineStr">
        <is>
          <t>減:累計減損-機器設備</t>
        </is>
      </c>
      <c r="C59" s="6">
        <f>SUMIFS(日記簿!$F$2:$F$100,日記簿!$D$2:$D$100,A59)</f>
        <v/>
      </c>
      <c r="D59" s="6">
        <f>SUMIFS(日記簿!$G$2:$G$100,日記簿!$D$2:$D$100,A59)</f>
        <v/>
      </c>
      <c r="E59" s="6">
        <f>D59-C59</f>
        <v/>
      </c>
      <c r="F59" s="7" t="inlineStr">
        <is>
          <t>資產</t>
        </is>
      </c>
    </row>
    <row r="60">
      <c r="A60" s="5" t="inlineStr">
        <is>
          <t>1451</t>
        </is>
      </c>
      <c r="B60" s="5" t="inlineStr">
        <is>
          <t>運輸設備</t>
        </is>
      </c>
      <c r="C60" s="6">
        <f>SUMIFS(日記簿!$F$2:$F$100,日記簿!$D$2:$D$100,A60)</f>
        <v/>
      </c>
      <c r="D60" s="6">
        <f>SUMIFS(日記簿!$G$2:$G$100,日記簿!$D$2:$D$100,A60)</f>
        <v/>
      </c>
      <c r="E60" s="6">
        <f>C60-D60</f>
        <v/>
      </c>
      <c r="F60" s="7" t="inlineStr">
        <is>
          <t>資產</t>
        </is>
      </c>
    </row>
    <row r="61">
      <c r="A61" s="5" t="inlineStr">
        <is>
          <t>1452</t>
        </is>
      </c>
      <c r="B61" s="5" t="inlineStr">
        <is>
          <t>減:累計折舊-運輸設備</t>
        </is>
      </c>
      <c r="C61" s="6">
        <f>SUMIFS(日記簿!$F$2:$F$100,日記簿!$D$2:$D$100,A61)</f>
        <v/>
      </c>
      <c r="D61" s="6">
        <f>SUMIFS(日記簿!$G$2:$G$100,日記簿!$D$2:$D$100,A61)</f>
        <v/>
      </c>
      <c r="E61" s="6">
        <f>D61-C61</f>
        <v/>
      </c>
      <c r="F61" s="7" t="inlineStr">
        <is>
          <t>資產</t>
        </is>
      </c>
    </row>
    <row r="62">
      <c r="A62" s="5" t="inlineStr">
        <is>
          <t>1453</t>
        </is>
      </c>
      <c r="B62" s="5" t="inlineStr">
        <is>
          <t>減:累計減損-運輸設備</t>
        </is>
      </c>
      <c r="C62" s="6">
        <f>SUMIFS(日記簿!$F$2:$F$100,日記簿!$D$2:$D$100,A62)</f>
        <v/>
      </c>
      <c r="D62" s="6">
        <f>SUMIFS(日記簿!$G$2:$G$100,日記簿!$D$2:$D$100,A62)</f>
        <v/>
      </c>
      <c r="E62" s="6">
        <f>D62-C62</f>
        <v/>
      </c>
      <c r="F62" s="7" t="inlineStr">
        <is>
          <t>資產</t>
        </is>
      </c>
    </row>
    <row r="63">
      <c r="A63" s="5" t="inlineStr">
        <is>
          <t>1461</t>
        </is>
      </c>
      <c r="B63" s="5" t="inlineStr">
        <is>
          <t>生財器具</t>
        </is>
      </c>
      <c r="C63" s="6">
        <f>SUMIFS(日記簿!$F$2:$F$100,日記簿!$D$2:$D$100,A63)</f>
        <v/>
      </c>
      <c r="D63" s="6">
        <f>SUMIFS(日記簿!$G$2:$G$100,日記簿!$D$2:$D$100,A63)</f>
        <v/>
      </c>
      <c r="E63" s="6">
        <f>C63-D63</f>
        <v/>
      </c>
      <c r="F63" s="7" t="inlineStr">
        <is>
          <t>資產</t>
        </is>
      </c>
    </row>
    <row r="64">
      <c r="A64" s="5" t="inlineStr">
        <is>
          <t>1462</t>
        </is>
      </c>
      <c r="B64" s="5" t="inlineStr">
        <is>
          <t>減:累計折舊-生財器具</t>
        </is>
      </c>
      <c r="C64" s="6">
        <f>SUMIFS(日記簿!$F$2:$F$100,日記簿!$D$2:$D$100,A64)</f>
        <v/>
      </c>
      <c r="D64" s="6">
        <f>SUMIFS(日記簿!$G$2:$G$100,日記簿!$D$2:$D$100,A64)</f>
        <v/>
      </c>
      <c r="E64" s="6">
        <f>D64-C64</f>
        <v/>
      </c>
      <c r="F64" s="7" t="inlineStr">
        <is>
          <t>資產</t>
        </is>
      </c>
    </row>
    <row r="65">
      <c r="A65" s="5" t="inlineStr">
        <is>
          <t>1463</t>
        </is>
      </c>
      <c r="B65" s="5" t="inlineStr">
        <is>
          <t>減:累計減損-生財器具</t>
        </is>
      </c>
      <c r="C65" s="6">
        <f>SUMIFS(日記簿!$F$2:$F$100,日記簿!$D$2:$D$100,A65)</f>
        <v/>
      </c>
      <c r="D65" s="6">
        <f>SUMIFS(日記簿!$G$2:$G$100,日記簿!$D$2:$D$100,A65)</f>
        <v/>
      </c>
      <c r="E65" s="6">
        <f>D65-C65</f>
        <v/>
      </c>
      <c r="F65" s="7" t="inlineStr">
        <is>
          <t>資產</t>
        </is>
      </c>
    </row>
    <row r="66">
      <c r="A66" s="5" t="inlineStr">
        <is>
          <t>1470</t>
        </is>
      </c>
      <c r="B66" s="5" t="inlineStr">
        <is>
          <t>未完工程及待驗設備</t>
        </is>
      </c>
      <c r="C66" s="6">
        <f>SUMIFS(日記簿!$F$2:$F$100,日記簿!$D$2:$D$100,A66)</f>
        <v/>
      </c>
      <c r="D66" s="6">
        <f>SUMIFS(日記簿!$G$2:$G$100,日記簿!$D$2:$D$100,A66)</f>
        <v/>
      </c>
      <c r="E66" s="6">
        <f>C66-D66</f>
        <v/>
      </c>
      <c r="F66" s="7" t="inlineStr">
        <is>
          <t>資產</t>
        </is>
      </c>
    </row>
    <row r="67">
      <c r="A67" s="5" t="inlineStr">
        <is>
          <t>1580</t>
        </is>
      </c>
      <c r="B67" s="5" t="inlineStr">
        <is>
          <t>預付購置設備款</t>
        </is>
      </c>
      <c r="C67" s="6">
        <f>SUMIFS(日記簿!$F$2:$F$100,日記簿!$D$2:$D$100,A67)</f>
        <v/>
      </c>
      <c r="D67" s="6">
        <f>SUMIFS(日記簿!$G$2:$G$100,日記簿!$D$2:$D$100,A67)</f>
        <v/>
      </c>
      <c r="E67" s="6">
        <f>C67-D67</f>
        <v/>
      </c>
      <c r="F67" s="7" t="inlineStr">
        <is>
          <t>資產</t>
        </is>
      </c>
    </row>
    <row r="68">
      <c r="A68" s="5" t="inlineStr">
        <is>
          <t>1491</t>
        </is>
      </c>
      <c r="B68" s="5" t="inlineStr">
        <is>
          <t>其他固定資產</t>
        </is>
      </c>
      <c r="C68" s="6">
        <f>SUMIFS(日記簿!$F$2:$F$100,日記簿!$D$2:$D$100,A68)</f>
        <v/>
      </c>
      <c r="D68" s="6">
        <f>SUMIFS(日記簿!$G$2:$G$100,日記簿!$D$2:$D$100,A68)</f>
        <v/>
      </c>
      <c r="E68" s="6">
        <f>C68-D68</f>
        <v/>
      </c>
      <c r="F68" s="7" t="inlineStr">
        <is>
          <t>資產</t>
        </is>
      </c>
    </row>
    <row r="69">
      <c r="A69" s="5" t="inlineStr">
        <is>
          <t>1492</t>
        </is>
      </c>
      <c r="B69" s="5" t="inlineStr">
        <is>
          <t>減:累計折舊-其他固定資產</t>
        </is>
      </c>
      <c r="C69" s="6">
        <f>SUMIFS(日記簿!$F$2:$F$100,日記簿!$D$2:$D$100,A69)</f>
        <v/>
      </c>
      <c r="D69" s="6">
        <f>SUMIFS(日記簿!$G$2:$G$100,日記簿!$D$2:$D$100,A69)</f>
        <v/>
      </c>
      <c r="E69" s="6">
        <f>D69-C69</f>
        <v/>
      </c>
      <c r="F69" s="7" t="inlineStr">
        <is>
          <t>資產</t>
        </is>
      </c>
    </row>
    <row r="70">
      <c r="A70" s="5" t="inlineStr">
        <is>
          <t>1493</t>
        </is>
      </c>
      <c r="B70" s="5" t="inlineStr">
        <is>
          <t>減:累計減損-其他固定資產</t>
        </is>
      </c>
      <c r="C70" s="6">
        <f>SUMIFS(日記簿!$F$2:$F$100,日記簿!$D$2:$D$100,A70)</f>
        <v/>
      </c>
      <c r="D70" s="6">
        <f>SUMIFS(日記簿!$G$2:$G$100,日記簿!$D$2:$D$100,A70)</f>
        <v/>
      </c>
      <c r="E70" s="6">
        <f>D70-C70</f>
        <v/>
      </c>
      <c r="F70" s="7" t="inlineStr">
        <is>
          <t>資產</t>
        </is>
      </c>
    </row>
    <row r="71">
      <c r="A71" s="5" t="inlineStr">
        <is>
          <t>1541</t>
        </is>
      </c>
      <c r="B71" s="5" t="inlineStr">
        <is>
          <t>投資性不動產</t>
        </is>
      </c>
      <c r="C71" s="6">
        <f>SUMIFS(日記簿!$F$2:$F$100,日記簿!$D$2:$D$100,A71)</f>
        <v/>
      </c>
      <c r="D71" s="6">
        <f>SUMIFS(日記簿!$G$2:$G$100,日記簿!$D$2:$D$100,A71)</f>
        <v/>
      </c>
      <c r="E71" s="6">
        <f>C71-D71</f>
        <v/>
      </c>
      <c r="F71" s="7" t="inlineStr">
        <is>
          <t>資產</t>
        </is>
      </c>
    </row>
    <row r="72">
      <c r="A72" s="5" t="inlineStr">
        <is>
          <t>1542</t>
        </is>
      </c>
      <c r="B72" s="5" t="inlineStr">
        <is>
          <t>減:累計折舊-投資性不動產</t>
        </is>
      </c>
      <c r="C72" s="6">
        <f>SUMIFS(日記簿!$F$2:$F$100,日記簿!$D$2:$D$100,A72)</f>
        <v/>
      </c>
      <c r="D72" s="6">
        <f>SUMIFS(日記簿!$G$2:$G$100,日記簿!$D$2:$D$100,A72)</f>
        <v/>
      </c>
      <c r="E72" s="6">
        <f>D72-C72</f>
        <v/>
      </c>
      <c r="F72" s="7" t="inlineStr">
        <is>
          <t>資產</t>
        </is>
      </c>
    </row>
    <row r="73">
      <c r="A73" s="5" t="inlineStr">
        <is>
          <t>1421</t>
        </is>
      </c>
      <c r="B73" s="5" t="inlineStr">
        <is>
          <t>礦產資源</t>
        </is>
      </c>
      <c r="C73" s="6">
        <f>SUMIFS(日記簿!$F$2:$F$100,日記簿!$D$2:$D$100,A73)</f>
        <v/>
      </c>
      <c r="D73" s="6">
        <f>SUMIFS(日記簿!$G$2:$G$100,日記簿!$D$2:$D$100,A73)</f>
        <v/>
      </c>
      <c r="E73" s="6">
        <f>C73-D73</f>
        <v/>
      </c>
      <c r="F73" s="7" t="inlineStr">
        <is>
          <t>資產</t>
        </is>
      </c>
    </row>
    <row r="74">
      <c r="A74" s="5" t="inlineStr">
        <is>
          <t>1422</t>
        </is>
      </c>
      <c r="B74" s="5" t="inlineStr">
        <is>
          <t>減:累計折耗-礦產資源</t>
        </is>
      </c>
      <c r="C74" s="6">
        <f>SUMIFS(日記簿!$F$2:$F$100,日記簿!$D$2:$D$100,A74)</f>
        <v/>
      </c>
      <c r="D74" s="6">
        <f>SUMIFS(日記簿!$G$2:$G$100,日記簿!$D$2:$D$100,A74)</f>
        <v/>
      </c>
      <c r="E74" s="6">
        <f>D74-C74</f>
        <v/>
      </c>
      <c r="F74" s="7" t="inlineStr">
        <is>
          <t>資產</t>
        </is>
      </c>
    </row>
    <row r="75">
      <c r="A75" s="5" t="inlineStr">
        <is>
          <t>1551</t>
        </is>
      </c>
      <c r="B75" s="5" t="inlineStr">
        <is>
          <t>生物資產</t>
        </is>
      </c>
      <c r="C75" s="6">
        <f>SUMIFS(日記簿!$F$2:$F$100,日記簿!$D$2:$D$100,A75)</f>
        <v/>
      </c>
      <c r="D75" s="6">
        <f>SUMIFS(日記簿!$G$2:$G$100,日記簿!$D$2:$D$100,A75)</f>
        <v/>
      </c>
      <c r="E75" s="6">
        <f>C75-D75</f>
        <v/>
      </c>
      <c r="F75" s="7" t="inlineStr">
        <is>
          <t>資產</t>
        </is>
      </c>
    </row>
    <row r="76">
      <c r="A76" s="5" t="inlineStr">
        <is>
          <t>1552</t>
        </is>
      </c>
      <c r="B76" s="5" t="inlineStr">
        <is>
          <t>減:累計折舊-生物資產</t>
        </is>
      </c>
      <c r="C76" s="6">
        <f>SUMIFS(日記簿!$F$2:$F$100,日記簿!$D$2:$D$100,A76)</f>
        <v/>
      </c>
      <c r="D76" s="6">
        <f>SUMIFS(日記簿!$G$2:$G$100,日記簿!$D$2:$D$100,A76)</f>
        <v/>
      </c>
      <c r="E76" s="6">
        <f>D76-C76</f>
        <v/>
      </c>
      <c r="F76" s="7" t="inlineStr">
        <is>
          <t>資產</t>
        </is>
      </c>
    </row>
    <row r="77">
      <c r="A77" s="5" t="inlineStr">
        <is>
          <t>1553</t>
        </is>
      </c>
      <c r="B77" s="5" t="inlineStr">
        <is>
          <t>減:累計減損-生物資產</t>
        </is>
      </c>
      <c r="C77" s="6">
        <f>SUMIFS(日記簿!$F$2:$F$100,日記簿!$D$2:$D$100,A77)</f>
        <v/>
      </c>
      <c r="D77" s="6">
        <f>SUMIFS(日記簿!$G$2:$G$100,日記簿!$D$2:$D$100,A77)</f>
        <v/>
      </c>
      <c r="E77" s="6">
        <f>D77-C77</f>
        <v/>
      </c>
      <c r="F77" s="7" t="inlineStr">
        <is>
          <t>資產</t>
        </is>
      </c>
    </row>
    <row r="78">
      <c r="A78" s="5" t="inlineStr">
        <is>
          <t>1510</t>
        </is>
      </c>
      <c r="B78" s="5" t="inlineStr">
        <is>
          <t>無形資產</t>
        </is>
      </c>
      <c r="C78" s="6">
        <f>SUMIFS(日記簿!$F$2:$F$100,日記簿!$D$2:$D$100,A78)</f>
        <v/>
      </c>
      <c r="D78" s="6">
        <f>SUMIFS(日記簿!$G$2:$G$100,日記簿!$D$2:$D$100,A78)</f>
        <v/>
      </c>
      <c r="E78" s="6">
        <f>C78-D78</f>
        <v/>
      </c>
      <c r="F78" s="7" t="inlineStr">
        <is>
          <t>資產</t>
        </is>
      </c>
    </row>
    <row r="79">
      <c r="A79" s="5" t="inlineStr">
        <is>
          <t>1511</t>
        </is>
      </c>
      <c r="B79" s="5" t="inlineStr">
        <is>
          <t>減:累計攤折-無形資產</t>
        </is>
      </c>
      <c r="C79" s="6">
        <f>SUMIFS(日記簿!$F$2:$F$100,日記簿!$D$2:$D$100,A79)</f>
        <v/>
      </c>
      <c r="D79" s="6">
        <f>SUMIFS(日記簿!$G$2:$G$100,日記簿!$D$2:$D$100,A79)</f>
        <v/>
      </c>
      <c r="E79" s="6">
        <f>D79-C79</f>
        <v/>
      </c>
      <c r="F79" s="7" t="inlineStr">
        <is>
          <t>資產</t>
        </is>
      </c>
    </row>
    <row r="80">
      <c r="A80" s="5" t="inlineStr">
        <is>
          <t>1512</t>
        </is>
      </c>
      <c r="B80" s="5" t="inlineStr">
        <is>
          <t>減:累計減損-無形資產</t>
        </is>
      </c>
      <c r="C80" s="6">
        <f>SUMIFS(日記簿!$F$2:$F$100,日記簿!$D$2:$D$100,A80)</f>
        <v/>
      </c>
      <c r="D80" s="6">
        <f>SUMIFS(日記簿!$G$2:$G$100,日記簿!$D$2:$D$100,A80)</f>
        <v/>
      </c>
      <c r="E80" s="6">
        <f>D80-C80</f>
        <v/>
      </c>
      <c r="F80" s="7" t="inlineStr">
        <is>
          <t>資產</t>
        </is>
      </c>
    </row>
    <row r="81">
      <c r="A81" s="5" t="inlineStr">
        <is>
          <t>1901</t>
        </is>
      </c>
      <c r="B81" s="5" t="inlineStr">
        <is>
          <t>存出保證金</t>
        </is>
      </c>
      <c r="C81" s="6">
        <f>SUMIFS(日記簿!$F$2:$F$100,日記簿!$D$2:$D$100,A81)</f>
        <v/>
      </c>
      <c r="D81" s="6">
        <f>SUMIFS(日記簿!$G$2:$G$100,日記簿!$D$2:$D$100,A81)</f>
        <v/>
      </c>
      <c r="E81" s="6">
        <f>C81-D81</f>
        <v/>
      </c>
      <c r="F81" s="7" t="inlineStr">
        <is>
          <t>資產</t>
        </is>
      </c>
    </row>
    <row r="82">
      <c r="A82" s="5" t="inlineStr">
        <is>
          <t>1902</t>
        </is>
      </c>
      <c r="B82" s="5" t="inlineStr">
        <is>
          <t>未攤銷費用</t>
        </is>
      </c>
      <c r="C82" s="6">
        <f>SUMIFS(日記簿!$F$2:$F$100,日記簿!$D$2:$D$100,A82)</f>
        <v/>
      </c>
      <c r="D82" s="6">
        <f>SUMIFS(日記簿!$G$2:$G$100,日記簿!$D$2:$D$100,A82)</f>
        <v/>
      </c>
      <c r="E82" s="6">
        <f>C82-D82</f>
        <v/>
      </c>
      <c r="F82" s="7" t="inlineStr">
        <is>
          <t>資產</t>
        </is>
      </c>
    </row>
    <row r="83">
      <c r="A83" s="5" t="inlineStr">
        <is>
          <t>1903</t>
        </is>
      </c>
      <c r="B83" s="5" t="inlineStr">
        <is>
          <t>預付設備款</t>
        </is>
      </c>
      <c r="C83" s="6">
        <f>SUMIFS(日記簿!$F$2:$F$100,日記簿!$D$2:$D$100,A83)</f>
        <v/>
      </c>
      <c r="D83" s="6">
        <f>SUMIFS(日記簿!$G$2:$G$100,日記簿!$D$2:$D$100,A83)</f>
        <v/>
      </c>
      <c r="E83" s="6">
        <f>C83-D83</f>
        <v/>
      </c>
      <c r="F83" s="7" t="inlineStr">
        <is>
          <t>資產</t>
        </is>
      </c>
    </row>
    <row r="84">
      <c r="A84" s="5" t="inlineStr">
        <is>
          <t>1904</t>
        </is>
      </c>
      <c r="B84" s="5" t="inlineStr">
        <is>
          <t>其他非流動資產-其他</t>
        </is>
      </c>
      <c r="C84" s="6">
        <f>SUMIFS(日記簿!$F$2:$F$100,日記簿!$D$2:$D$100,A84)</f>
        <v/>
      </c>
      <c r="D84" s="6">
        <f>SUMIFS(日記簿!$G$2:$G$100,日記簿!$D$2:$D$100,A84)</f>
        <v/>
      </c>
      <c r="E84" s="6">
        <f>C84-D84</f>
        <v/>
      </c>
      <c r="F84" s="7" t="inlineStr">
        <is>
          <t>資產</t>
        </is>
      </c>
    </row>
    <row r="85">
      <c r="A85" s="5" t="inlineStr">
        <is>
          <t>2111</t>
        </is>
      </c>
      <c r="B85" s="5" t="inlineStr">
        <is>
          <t>銀行透支</t>
        </is>
      </c>
      <c r="C85" s="6">
        <f>SUMIFS(日記簿!$F$2:$F$100,日記簿!$D$2:$D$100,A85)</f>
        <v/>
      </c>
      <c r="D85" s="6">
        <f>SUMIFS(日記簿!$G$2:$G$100,日記簿!$D$2:$D$100,A85)</f>
        <v/>
      </c>
      <c r="E85" s="6">
        <f>D85-C85</f>
        <v/>
      </c>
      <c r="F85" s="7" t="inlineStr">
        <is>
          <t>負債</t>
        </is>
      </c>
    </row>
    <row r="86">
      <c r="A86" s="5" t="inlineStr">
        <is>
          <t>2112</t>
        </is>
      </c>
      <c r="B86" s="5" t="inlineStr">
        <is>
          <t>銀行借款</t>
        </is>
      </c>
      <c r="C86" s="6">
        <f>SUMIFS(日記簿!$F$2:$F$100,日記簿!$D$2:$D$100,A86)</f>
        <v/>
      </c>
      <c r="D86" s="6">
        <f>SUMIFS(日記簿!$G$2:$G$100,日記簿!$D$2:$D$100,A86)</f>
        <v/>
      </c>
      <c r="E86" s="6">
        <f>D86-C86</f>
        <v/>
      </c>
      <c r="F86" s="7" t="inlineStr">
        <is>
          <t>負債</t>
        </is>
      </c>
    </row>
    <row r="87">
      <c r="A87" s="5" t="inlineStr">
        <is>
          <t>2113</t>
        </is>
      </c>
      <c r="B87" s="5" t="inlineStr">
        <is>
          <t>應付短期票券</t>
        </is>
      </c>
      <c r="C87" s="6">
        <f>SUMIFS(日記簿!$F$2:$F$100,日記簿!$D$2:$D$100,A87)</f>
        <v/>
      </c>
      <c r="D87" s="6">
        <f>SUMIFS(日記簿!$G$2:$G$100,日記簿!$D$2:$D$100,A87)</f>
        <v/>
      </c>
      <c r="E87" s="6">
        <f>D87-C87</f>
        <v/>
      </c>
      <c r="F87" s="7" t="inlineStr">
        <is>
          <t>負債</t>
        </is>
      </c>
    </row>
    <row r="88">
      <c r="A88" s="5" t="inlineStr">
        <is>
          <t>2119</t>
        </is>
      </c>
      <c r="B88" s="5" t="inlineStr">
        <is>
          <t>其他短期借款</t>
        </is>
      </c>
      <c r="C88" s="6">
        <f>SUMIFS(日記簿!$F$2:$F$100,日記簿!$D$2:$D$100,A88)</f>
        <v/>
      </c>
      <c r="D88" s="6">
        <f>SUMIFS(日記簿!$G$2:$G$100,日記簿!$D$2:$D$100,A88)</f>
        <v/>
      </c>
      <c r="E88" s="6">
        <f>D88-C88</f>
        <v/>
      </c>
      <c r="F88" s="7" t="inlineStr">
        <is>
          <t>負債</t>
        </is>
      </c>
    </row>
    <row r="89">
      <c r="A89" s="5" t="inlineStr">
        <is>
          <t>2140</t>
        </is>
      </c>
      <c r="B89" s="5" t="inlineStr">
        <is>
          <t>透過損益按公允價值衡量之金融負債-流動</t>
        </is>
      </c>
      <c r="C89" s="6">
        <f>SUMIFS(日記簿!$F$2:$F$100,日記簿!$D$2:$D$100,A89)</f>
        <v/>
      </c>
      <c r="D89" s="6">
        <f>SUMIFS(日記簿!$G$2:$G$100,日記簿!$D$2:$D$100,A89)</f>
        <v/>
      </c>
      <c r="E89" s="6">
        <f>D89-C89</f>
        <v/>
      </c>
      <c r="F89" s="7" t="inlineStr">
        <is>
          <t>負債</t>
        </is>
      </c>
    </row>
    <row r="90">
      <c r="A90" s="5" t="inlineStr">
        <is>
          <t>2150</t>
        </is>
      </c>
      <c r="B90" s="5" t="inlineStr">
        <is>
          <t>避險之金融負債-流動</t>
        </is>
      </c>
      <c r="C90" s="6">
        <f>SUMIFS(日記簿!$F$2:$F$100,日記簿!$D$2:$D$100,A90)</f>
        <v/>
      </c>
      <c r="D90" s="6">
        <f>SUMIFS(日記簿!$G$2:$G$100,日記簿!$D$2:$D$100,A90)</f>
        <v/>
      </c>
      <c r="E90" s="6">
        <f>D90-C90</f>
        <v/>
      </c>
      <c r="F90" s="7" t="inlineStr">
        <is>
          <t>負債</t>
        </is>
      </c>
    </row>
    <row r="91">
      <c r="A91" s="5" t="inlineStr">
        <is>
          <t>2170</t>
        </is>
      </c>
      <c r="B91" s="5" t="inlineStr">
        <is>
          <t>特別股負債-流動</t>
        </is>
      </c>
      <c r="C91" s="6">
        <f>SUMIFS(日記簿!$F$2:$F$100,日記簿!$D$2:$D$100,A91)</f>
        <v/>
      </c>
      <c r="D91" s="6">
        <f>SUMIFS(日記簿!$G$2:$G$100,日記簿!$D$2:$D$100,A91)</f>
        <v/>
      </c>
      <c r="E91" s="6">
        <f>D91-C91</f>
        <v/>
      </c>
      <c r="F91" s="7" t="inlineStr">
        <is>
          <t>負債</t>
        </is>
      </c>
    </row>
    <row r="92">
      <c r="A92" s="5" t="inlineStr">
        <is>
          <t>2180</t>
        </is>
      </c>
      <c r="B92" s="5" t="inlineStr">
        <is>
          <t>其他金融負債-流動</t>
        </is>
      </c>
      <c r="C92" s="6">
        <f>SUMIFS(日記簿!$F$2:$F$100,日記簿!$D$2:$D$100,A92)</f>
        <v/>
      </c>
      <c r="D92" s="6">
        <f>SUMIFS(日記簿!$G$2:$G$100,日記簿!$D$2:$D$100,A92)</f>
        <v/>
      </c>
      <c r="E92" s="6">
        <f>D92-C92</f>
        <v/>
      </c>
      <c r="F92" s="7" t="inlineStr">
        <is>
          <t>負債</t>
        </is>
      </c>
    </row>
    <row r="93">
      <c r="A93" s="5" t="inlineStr">
        <is>
          <t>2126</t>
        </is>
      </c>
      <c r="B93" s="5" t="inlineStr">
        <is>
          <t>合約負債-流動</t>
        </is>
      </c>
      <c r="C93" s="6">
        <f>SUMIFS(日記簿!$F$2:$F$100,日記簿!$D$2:$D$100,A93)</f>
        <v/>
      </c>
      <c r="D93" s="6">
        <f>SUMIFS(日記簿!$G$2:$G$100,日記簿!$D$2:$D$100,A93)</f>
        <v/>
      </c>
      <c r="E93" s="6">
        <f>D93-C93</f>
        <v/>
      </c>
      <c r="F93" s="7" t="inlineStr">
        <is>
          <t>負債</t>
        </is>
      </c>
    </row>
    <row r="94">
      <c r="A94" s="5" t="inlineStr">
        <is>
          <t>2120</t>
        </is>
      </c>
      <c r="B94" s="5" t="inlineStr">
        <is>
          <t>應付票據</t>
        </is>
      </c>
      <c r="C94" s="6">
        <f>SUMIFS(日記簿!$F$2:$F$100,日記簿!$D$2:$D$100,A94)</f>
        <v/>
      </c>
      <c r="D94" s="6">
        <f>SUMIFS(日記簿!$G$2:$G$100,日記簿!$D$2:$D$100,A94)</f>
        <v/>
      </c>
      <c r="E94" s="6">
        <f>D94-C94</f>
        <v/>
      </c>
      <c r="F94" s="7" t="inlineStr">
        <is>
          <t>負債</t>
        </is>
      </c>
    </row>
    <row r="95">
      <c r="A95" s="5" t="inlineStr">
        <is>
          <t>2121</t>
        </is>
      </c>
      <c r="B95" s="5" t="inlineStr">
        <is>
          <t>應付帳款</t>
        </is>
      </c>
      <c r="C95" s="6">
        <f>SUMIFS(日記簿!$F$2:$F$100,日記簿!$D$2:$D$100,A95)</f>
        <v/>
      </c>
      <c r="D95" s="6">
        <f>SUMIFS(日記簿!$G$2:$G$100,日記簿!$D$2:$D$100,A95)</f>
        <v/>
      </c>
      <c r="E95" s="6">
        <f>D95-C95</f>
        <v/>
      </c>
      <c r="F95" s="7" t="inlineStr">
        <is>
          <t>負債</t>
        </is>
      </c>
    </row>
    <row r="96">
      <c r="A96" s="5" t="inlineStr">
        <is>
          <t>2131</t>
        </is>
      </c>
      <c r="B96" s="5" t="inlineStr">
        <is>
          <t>應付費用</t>
        </is>
      </c>
      <c r="C96" s="6">
        <f>SUMIFS(日記簿!$F$2:$F$100,日記簿!$D$2:$D$100,A96)</f>
        <v/>
      </c>
      <c r="D96" s="6">
        <f>SUMIFS(日記簿!$G$2:$G$100,日記簿!$D$2:$D$100,A96)</f>
        <v/>
      </c>
      <c r="E96" s="6">
        <f>D96-C96</f>
        <v/>
      </c>
      <c r="F96" s="7" t="inlineStr">
        <is>
          <t>負債</t>
        </is>
      </c>
    </row>
    <row r="97">
      <c r="A97" s="5" t="inlineStr">
        <is>
          <t>2132</t>
        </is>
      </c>
      <c r="B97" s="5" t="inlineStr">
        <is>
          <t>應付稅捐</t>
        </is>
      </c>
      <c r="C97" s="6">
        <f>SUMIFS(日記簿!$F$2:$F$100,日記簿!$D$2:$D$100,A97)</f>
        <v/>
      </c>
      <c r="D97" s="6">
        <f>SUMIFS(日記簿!$G$2:$G$100,日記簿!$D$2:$D$100,A97)</f>
        <v/>
      </c>
      <c r="E97" s="6">
        <f>D97-C97</f>
        <v/>
      </c>
      <c r="F97" s="7" t="inlineStr">
        <is>
          <t>負債</t>
        </is>
      </c>
    </row>
    <row r="98">
      <c r="A98" s="5" t="inlineStr">
        <is>
          <t>2133</t>
        </is>
      </c>
      <c r="B98" s="5" t="inlineStr">
        <is>
          <t>應付股利</t>
        </is>
      </c>
      <c r="C98" s="6">
        <f>SUMIFS(日記簿!$F$2:$F$100,日記簿!$D$2:$D$100,A98)</f>
        <v/>
      </c>
      <c r="D98" s="6">
        <f>SUMIFS(日記簿!$G$2:$G$100,日記簿!$D$2:$D$100,A98)</f>
        <v/>
      </c>
      <c r="E98" s="6">
        <f>D98-C98</f>
        <v/>
      </c>
      <c r="F98" s="7" t="inlineStr">
        <is>
          <t>負債</t>
        </is>
      </c>
    </row>
    <row r="99">
      <c r="A99" s="5" t="inlineStr">
        <is>
          <t>2134</t>
        </is>
      </c>
      <c r="B99" s="5" t="inlineStr">
        <is>
          <t>銷項稅額</t>
        </is>
      </c>
      <c r="C99" s="6">
        <f>SUMIFS(日記簿!$F$2:$F$100,日記簿!$D$2:$D$100,A99)</f>
        <v/>
      </c>
      <c r="D99" s="6">
        <f>SUMIFS(日記簿!$G$2:$G$100,日記簿!$D$2:$D$100,A99)</f>
        <v/>
      </c>
      <c r="E99" s="6">
        <f>D99-C99</f>
        <v/>
      </c>
      <c r="F99" s="7" t="inlineStr">
        <is>
          <t>負債</t>
        </is>
      </c>
    </row>
    <row r="100">
      <c r="A100" s="5" t="inlineStr">
        <is>
          <t>2135</t>
        </is>
      </c>
      <c r="B100" s="5" t="inlineStr">
        <is>
          <t>其他應付款-其他</t>
        </is>
      </c>
      <c r="C100" s="6">
        <f>SUMIFS(日記簿!$F$2:$F$100,日記簿!$D$2:$D$100,A100)</f>
        <v/>
      </c>
      <c r="D100" s="6">
        <f>SUMIFS(日記簿!$G$2:$G$100,日記簿!$D$2:$D$100,A100)</f>
        <v/>
      </c>
      <c r="E100" s="6">
        <f>D100-C100</f>
        <v/>
      </c>
      <c r="F100" s="7" t="inlineStr">
        <is>
          <t>負債</t>
        </is>
      </c>
    </row>
    <row r="101">
      <c r="A101" s="5" t="inlineStr">
        <is>
          <t>2137</t>
        </is>
      </c>
      <c r="B101" s="5" t="inlineStr">
        <is>
          <t>預收貨款</t>
        </is>
      </c>
      <c r="C101" s="6">
        <f>SUMIFS(日記簿!$F$2:$F$100,日記簿!$D$2:$D$100,A101)</f>
        <v/>
      </c>
      <c r="D101" s="6">
        <f>SUMIFS(日記簿!$G$2:$G$100,日記簿!$D$2:$D$100,A101)</f>
        <v/>
      </c>
      <c r="E101" s="6">
        <f>D101-C101</f>
        <v/>
      </c>
      <c r="F101" s="7" t="inlineStr">
        <is>
          <t>負債</t>
        </is>
      </c>
    </row>
    <row r="102">
      <c r="A102" s="5" t="inlineStr">
        <is>
          <t>2138</t>
        </is>
      </c>
      <c r="B102" s="5" t="inlineStr">
        <is>
          <t>其他預收款</t>
        </is>
      </c>
      <c r="C102" s="6">
        <f>SUMIFS(日記簿!$F$2:$F$100,日記簿!$D$2:$D$100,A102)</f>
        <v/>
      </c>
      <c r="D102" s="6">
        <f>SUMIFS(日記簿!$G$2:$G$100,日記簿!$D$2:$D$100,A102)</f>
        <v/>
      </c>
      <c r="E102" s="6">
        <f>D102-C102</f>
        <v/>
      </c>
      <c r="F102" s="7" t="inlineStr">
        <is>
          <t>負債</t>
        </is>
      </c>
    </row>
    <row r="103">
      <c r="A103" s="5" t="inlineStr">
        <is>
          <t>2191</t>
        </is>
      </c>
      <c r="B103" s="5" t="inlineStr">
        <is>
          <t>暫收款</t>
        </is>
      </c>
      <c r="C103" s="6">
        <f>SUMIFS(日記簿!$F$2:$F$100,日記簿!$D$2:$D$100,A103)</f>
        <v/>
      </c>
      <c r="D103" s="6">
        <f>SUMIFS(日記簿!$G$2:$G$100,日記簿!$D$2:$D$100,A103)</f>
        <v/>
      </c>
      <c r="E103" s="6">
        <f>D103-C103</f>
        <v/>
      </c>
      <c r="F103" s="7" t="inlineStr">
        <is>
          <t>負債</t>
        </is>
      </c>
    </row>
    <row r="104">
      <c r="A104" s="5" t="inlineStr">
        <is>
          <t>2192</t>
        </is>
      </c>
      <c r="B104" s="5" t="inlineStr">
        <is>
          <t>股東往來</t>
        </is>
      </c>
      <c r="C104" s="6">
        <f>SUMIFS(日記簿!$F$2:$F$100,日記簿!$D$2:$D$100,A104)</f>
        <v/>
      </c>
      <c r="D104" s="6">
        <f>SUMIFS(日記簿!$G$2:$G$100,日記簿!$D$2:$D$100,A104)</f>
        <v/>
      </c>
      <c r="E104" s="6">
        <f>D104-C104</f>
        <v/>
      </c>
      <c r="F104" s="7" t="inlineStr">
        <is>
          <t>負債</t>
        </is>
      </c>
    </row>
    <row r="105">
      <c r="A105" s="5" t="inlineStr">
        <is>
          <t>2195</t>
        </is>
      </c>
      <c r="B105" s="5" t="inlineStr">
        <is>
          <t>代收款</t>
        </is>
      </c>
      <c r="C105" s="6">
        <f>SUMIFS(日記簿!$F$2:$F$100,日記簿!$D$2:$D$100,A105)</f>
        <v/>
      </c>
      <c r="D105" s="6">
        <f>SUMIFS(日記簿!$G$2:$G$100,日記簿!$D$2:$D$100,A105)</f>
        <v/>
      </c>
      <c r="E105" s="6">
        <f>D105-C105</f>
        <v/>
      </c>
      <c r="F105" s="7" t="inlineStr">
        <is>
          <t>負債</t>
        </is>
      </c>
    </row>
    <row r="106">
      <c r="A106" s="5" t="inlineStr">
        <is>
          <t>21951</t>
        </is>
      </c>
      <c r="B106" s="5" t="inlineStr">
        <is>
          <t>代收款-健保費</t>
        </is>
      </c>
      <c r="C106" s="6">
        <f>SUMIFS(日記簿!$F$2:$F$100,日記簿!$D$2:$D$100,A106)</f>
        <v/>
      </c>
      <c r="D106" s="6">
        <f>SUMIFS(日記簿!$G$2:$G$100,日記簿!$D$2:$D$100,A106)</f>
        <v/>
      </c>
      <c r="E106" s="6">
        <f>D106-C106</f>
        <v/>
      </c>
      <c r="F106" s="7" t="inlineStr">
        <is>
          <t>負債</t>
        </is>
      </c>
    </row>
    <row r="107">
      <c r="A107" s="5" t="inlineStr">
        <is>
          <t>21952</t>
        </is>
      </c>
      <c r="B107" s="5" t="inlineStr">
        <is>
          <t>代收款-勞保費</t>
        </is>
      </c>
      <c r="C107" s="6">
        <f>SUMIFS(日記簿!$F$2:$F$100,日記簿!$D$2:$D$100,A107)</f>
        <v/>
      </c>
      <c r="D107" s="6">
        <f>SUMIFS(日記簿!$G$2:$G$100,日記簿!$D$2:$D$100,A107)</f>
        <v/>
      </c>
      <c r="E107" s="6">
        <f>D107-C107</f>
        <v/>
      </c>
      <c r="F107" s="7" t="inlineStr">
        <is>
          <t>負債</t>
        </is>
      </c>
    </row>
    <row r="108">
      <c r="A108" s="5" t="inlineStr">
        <is>
          <t>21953</t>
        </is>
      </c>
      <c r="B108" s="5" t="inlineStr">
        <is>
          <t>代收款-扣繳稅款</t>
        </is>
      </c>
      <c r="C108" s="6">
        <f>SUMIFS(日記簿!$F$2:$F$100,日記簿!$D$2:$D$100,A108)</f>
        <v/>
      </c>
      <c r="D108" s="6">
        <f>SUMIFS(日記簿!$G$2:$G$100,日記簿!$D$2:$D$100,A108)</f>
        <v/>
      </c>
      <c r="E108" s="6">
        <f>D108-C108</f>
        <v/>
      </c>
      <c r="F108" s="7" t="inlineStr">
        <is>
          <t>負債</t>
        </is>
      </c>
    </row>
    <row r="109">
      <c r="A109" s="5" t="inlineStr">
        <is>
          <t>2196</t>
        </is>
      </c>
      <c r="B109" s="5" t="inlineStr">
        <is>
          <t>其他流動負債-其他</t>
        </is>
      </c>
      <c r="C109" s="6">
        <f>SUMIFS(日記簿!$F$2:$F$100,日記簿!$D$2:$D$100,A109)</f>
        <v/>
      </c>
      <c r="D109" s="6">
        <f>SUMIFS(日記簿!$G$2:$G$100,日記簿!$D$2:$D$100,A109)</f>
        <v/>
      </c>
      <c r="E109" s="6">
        <f>D109-C109</f>
        <v/>
      </c>
      <c r="F109" s="7" t="inlineStr">
        <is>
          <t>負債</t>
        </is>
      </c>
    </row>
    <row r="110">
      <c r="A110" s="5" t="inlineStr">
        <is>
          <t>2210</t>
        </is>
      </c>
      <c r="B110" s="5" t="inlineStr">
        <is>
          <t>應付公司債</t>
        </is>
      </c>
      <c r="C110" s="6">
        <f>SUMIFS(日記簿!$F$2:$F$100,日記簿!$D$2:$D$100,A110)</f>
        <v/>
      </c>
      <c r="D110" s="6">
        <f>SUMIFS(日記簿!$G$2:$G$100,日記簿!$D$2:$D$100,A110)</f>
        <v/>
      </c>
      <c r="E110" s="6">
        <f>D110-C110</f>
        <v/>
      </c>
      <c r="F110" s="7" t="inlineStr">
        <is>
          <t>負債</t>
        </is>
      </c>
    </row>
    <row r="111">
      <c r="A111" s="5" t="inlineStr">
        <is>
          <t>2220</t>
        </is>
      </c>
      <c r="B111" s="5" t="inlineStr">
        <is>
          <t>長期借款</t>
        </is>
      </c>
      <c r="C111" s="6">
        <f>SUMIFS(日記簿!$F$2:$F$100,日記簿!$D$2:$D$100,A111)</f>
        <v/>
      </c>
      <c r="D111" s="6">
        <f>SUMIFS(日記簿!$G$2:$G$100,日記簿!$D$2:$D$100,A111)</f>
        <v/>
      </c>
      <c r="E111" s="6">
        <f>D111-C111</f>
        <v/>
      </c>
      <c r="F111" s="7" t="inlineStr">
        <is>
          <t>負債</t>
        </is>
      </c>
    </row>
    <row r="112">
      <c r="A112" s="5" t="inlineStr">
        <is>
          <t>2230</t>
        </is>
      </c>
      <c r="B112" s="5" t="inlineStr">
        <is>
          <t>透過損益按公允價值衡量之金融負債-非流動</t>
        </is>
      </c>
      <c r="C112" s="6">
        <f>SUMIFS(日記簿!$F$2:$F$100,日記簿!$D$2:$D$100,A112)</f>
        <v/>
      </c>
      <c r="D112" s="6">
        <f>SUMIFS(日記簿!$G$2:$G$100,日記簿!$D$2:$D$100,A112)</f>
        <v/>
      </c>
      <c r="E112" s="6">
        <f>D112-C112</f>
        <v/>
      </c>
      <c r="F112" s="7" t="inlineStr">
        <is>
          <t>負債</t>
        </is>
      </c>
    </row>
    <row r="113">
      <c r="A113" s="5" t="inlineStr">
        <is>
          <t>2240</t>
        </is>
      </c>
      <c r="B113" s="5" t="inlineStr">
        <is>
          <t>避險之金融負債-非流動</t>
        </is>
      </c>
      <c r="C113" s="6">
        <f>SUMIFS(日記簿!$F$2:$F$100,日記簿!$D$2:$D$100,A113)</f>
        <v/>
      </c>
      <c r="D113" s="6">
        <f>SUMIFS(日記簿!$G$2:$G$100,日記簿!$D$2:$D$100,A113)</f>
        <v/>
      </c>
      <c r="E113" s="6">
        <f>D113-C113</f>
        <v/>
      </c>
      <c r="F113" s="7" t="inlineStr">
        <is>
          <t>負債</t>
        </is>
      </c>
    </row>
    <row r="114">
      <c r="A114" s="5" t="inlineStr">
        <is>
          <t>2260</t>
        </is>
      </c>
      <c r="B114" s="5" t="inlineStr">
        <is>
          <t>特別股負債-非流動</t>
        </is>
      </c>
      <c r="C114" s="6">
        <f>SUMIFS(日記簿!$F$2:$F$100,日記簿!$D$2:$D$100,A114)</f>
        <v/>
      </c>
      <c r="D114" s="6">
        <f>SUMIFS(日記簿!$G$2:$G$100,日記簿!$D$2:$D$100,A114)</f>
        <v/>
      </c>
      <c r="E114" s="6">
        <f>D114-C114</f>
        <v/>
      </c>
      <c r="F114" s="7" t="inlineStr">
        <is>
          <t>負債</t>
        </is>
      </c>
    </row>
    <row r="115">
      <c r="A115" s="5" t="inlineStr">
        <is>
          <t>2270</t>
        </is>
      </c>
      <c r="B115" s="5" t="inlineStr">
        <is>
          <t>其他金融負債-非流動</t>
        </is>
      </c>
      <c r="C115" s="6">
        <f>SUMIFS(日記簿!$F$2:$F$100,日記簿!$D$2:$D$100,A115)</f>
        <v/>
      </c>
      <c r="D115" s="6">
        <f>SUMIFS(日記簿!$G$2:$G$100,日記簿!$D$2:$D$100,A115)</f>
        <v/>
      </c>
      <c r="E115" s="6">
        <f>D115-C115</f>
        <v/>
      </c>
      <c r="F115" s="7" t="inlineStr">
        <is>
          <t>負債</t>
        </is>
      </c>
    </row>
    <row r="116">
      <c r="A116" s="5" t="inlineStr">
        <is>
          <t>2280</t>
        </is>
      </c>
      <c r="B116" s="5" t="inlineStr">
        <is>
          <t>長期應付票據及款項</t>
        </is>
      </c>
      <c r="C116" s="6">
        <f>SUMIFS(日記簿!$F$2:$F$100,日記簿!$D$2:$D$100,A116)</f>
        <v/>
      </c>
      <c r="D116" s="6">
        <f>SUMIFS(日記簿!$G$2:$G$100,日記簿!$D$2:$D$100,A116)</f>
        <v/>
      </c>
      <c r="E116" s="6">
        <f>D116-C116</f>
        <v/>
      </c>
      <c r="F116" s="7" t="inlineStr">
        <is>
          <t>負債</t>
        </is>
      </c>
    </row>
    <row r="117">
      <c r="A117" s="5" t="inlineStr">
        <is>
          <t>2281</t>
        </is>
      </c>
      <c r="B117" s="5" t="inlineStr">
        <is>
          <t>合約負債-非流動</t>
        </is>
      </c>
      <c r="C117" s="6">
        <f>SUMIFS(日記簿!$F$2:$F$100,日記簿!$D$2:$D$100,A117)</f>
        <v/>
      </c>
      <c r="D117" s="6">
        <f>SUMIFS(日記簿!$G$2:$G$100,日記簿!$D$2:$D$100,A117)</f>
        <v/>
      </c>
      <c r="E117" s="6">
        <f>D117-C117</f>
        <v/>
      </c>
      <c r="F117" s="7" t="inlineStr">
        <is>
          <t>負債</t>
        </is>
      </c>
    </row>
    <row r="118">
      <c r="A118" s="5" t="inlineStr">
        <is>
          <t>2290</t>
        </is>
      </c>
      <c r="B118" s="5" t="inlineStr">
        <is>
          <t>其他長期負債</t>
        </is>
      </c>
      <c r="C118" s="6">
        <f>SUMIFS(日記簿!$F$2:$F$100,日記簿!$D$2:$D$100,A118)</f>
        <v/>
      </c>
      <c r="D118" s="6">
        <f>SUMIFS(日記簿!$G$2:$G$100,日記簿!$D$2:$D$100,A118)</f>
        <v/>
      </c>
      <c r="E118" s="6">
        <f>D118-C118</f>
        <v/>
      </c>
      <c r="F118" s="7" t="inlineStr">
        <is>
          <t>負債</t>
        </is>
      </c>
    </row>
    <row r="119">
      <c r="A119" s="5" t="inlineStr">
        <is>
          <t>2910</t>
        </is>
      </c>
      <c r="B119" s="5" t="inlineStr">
        <is>
          <t>存入保證金</t>
        </is>
      </c>
      <c r="C119" s="6">
        <f>SUMIFS(日記簿!$F$2:$F$100,日記簿!$D$2:$D$100,A119)</f>
        <v/>
      </c>
      <c r="D119" s="6">
        <f>SUMIFS(日記簿!$G$2:$G$100,日記簿!$D$2:$D$100,A119)</f>
        <v/>
      </c>
      <c r="E119" s="6">
        <f>D119-C119</f>
        <v/>
      </c>
      <c r="F119" s="7" t="inlineStr">
        <is>
          <t>負債</t>
        </is>
      </c>
    </row>
    <row r="120">
      <c r="A120" s="5" t="inlineStr">
        <is>
          <t>2940</t>
        </is>
      </c>
      <c r="B120" s="5" t="inlineStr">
        <is>
          <t>退休金準備</t>
        </is>
      </c>
      <c r="C120" s="6">
        <f>SUMIFS(日記簿!$F$2:$F$100,日記簿!$D$2:$D$100,A120)</f>
        <v/>
      </c>
      <c r="D120" s="6">
        <f>SUMIFS(日記簿!$G$2:$G$100,日記簿!$D$2:$D$100,A120)</f>
        <v/>
      </c>
      <c r="E120" s="6">
        <f>D120-C120</f>
        <v/>
      </c>
      <c r="F120" s="7" t="inlineStr">
        <is>
          <t>負債</t>
        </is>
      </c>
    </row>
    <row r="121">
      <c r="A121" s="5" t="inlineStr">
        <is>
          <t>2951</t>
        </is>
      </c>
      <c r="B121" s="5" t="inlineStr">
        <is>
          <t>國外投資損失準備</t>
        </is>
      </c>
      <c r="C121" s="6">
        <f>SUMIFS(日記簿!$F$2:$F$100,日記簿!$D$2:$D$100,A121)</f>
        <v/>
      </c>
      <c r="D121" s="6">
        <f>SUMIFS(日記簿!$G$2:$G$100,日記簿!$D$2:$D$100,A121)</f>
        <v/>
      </c>
      <c r="E121" s="6">
        <f>D121-C121</f>
        <v/>
      </c>
      <c r="F121" s="7" t="inlineStr">
        <is>
          <t>負債</t>
        </is>
      </c>
    </row>
    <row r="122">
      <c r="A122" s="5" t="inlineStr">
        <is>
          <t>2970</t>
        </is>
      </c>
      <c r="B122" s="5" t="inlineStr">
        <is>
          <t>受託承銷品</t>
        </is>
      </c>
      <c r="C122" s="6">
        <f>SUMIFS(日記簿!$F$2:$F$100,日記簿!$D$2:$D$100,A122)</f>
        <v/>
      </c>
      <c r="D122" s="6">
        <f>SUMIFS(日記簿!$G$2:$G$100,日記簿!$D$2:$D$100,A122)</f>
        <v/>
      </c>
      <c r="E122" s="6">
        <f>D122-C122</f>
        <v/>
      </c>
      <c r="F122" s="7" t="inlineStr">
        <is>
          <t>負債</t>
        </is>
      </c>
    </row>
    <row r="123">
      <c r="A123" s="5" t="inlineStr">
        <is>
          <t>2999</t>
        </is>
      </c>
      <c r="B123" s="5" t="inlineStr">
        <is>
          <t>其他非流動負債-其他</t>
        </is>
      </c>
      <c r="C123" s="6">
        <f>SUMIFS(日記簿!$F$2:$F$100,日記簿!$D$2:$D$100,A123)</f>
        <v/>
      </c>
      <c r="D123" s="6">
        <f>SUMIFS(日記簿!$G$2:$G$100,日記簿!$D$2:$D$100,A123)</f>
        <v/>
      </c>
      <c r="E123" s="6">
        <f>D123-C123</f>
        <v/>
      </c>
      <c r="F123" s="7" t="inlineStr">
        <is>
          <t>負債</t>
        </is>
      </c>
    </row>
    <row r="124">
      <c r="A124" s="5" t="inlineStr">
        <is>
          <t>3110</t>
        </is>
      </c>
      <c r="B124" s="5" t="inlineStr">
        <is>
          <t>實收資本</t>
        </is>
      </c>
      <c r="C124" s="6">
        <f>SUMIFS(日記簿!$F$2:$F$100,日記簿!$D$2:$D$100,A124)</f>
        <v/>
      </c>
      <c r="D124" s="6">
        <f>SUMIFS(日記簿!$G$2:$G$100,日記簿!$D$2:$D$100,A124)</f>
        <v/>
      </c>
      <c r="E124" s="6">
        <f>D124-C124</f>
        <v/>
      </c>
      <c r="F124" s="7" t="inlineStr">
        <is>
          <t>權益</t>
        </is>
      </c>
    </row>
    <row r="125">
      <c r="A125" s="5" t="inlineStr">
        <is>
          <t>3330</t>
        </is>
      </c>
      <c r="B125" s="5" t="inlineStr">
        <is>
          <t>資本公積</t>
        </is>
      </c>
      <c r="C125" s="6">
        <f>SUMIFS(日記簿!$F$2:$F$100,日記簿!$D$2:$D$100,A125)</f>
        <v/>
      </c>
      <c r="D125" s="6">
        <f>SUMIFS(日記簿!$G$2:$G$100,日記簿!$D$2:$D$100,A125)</f>
        <v/>
      </c>
      <c r="E125" s="6">
        <f>D125-C125</f>
        <v/>
      </c>
      <c r="F125" s="7" t="inlineStr">
        <is>
          <t>權益</t>
        </is>
      </c>
    </row>
    <row r="126">
      <c r="A126" s="5" t="inlineStr">
        <is>
          <t>3410</t>
        </is>
      </c>
      <c r="B126" s="5" t="inlineStr">
        <is>
          <t>法定盈餘公積</t>
        </is>
      </c>
      <c r="C126" s="6">
        <f>SUMIFS(日記簿!$F$2:$F$100,日記簿!$D$2:$D$100,A126)</f>
        <v/>
      </c>
      <c r="D126" s="6">
        <f>SUMIFS(日記簿!$G$2:$G$100,日記簿!$D$2:$D$100,A126)</f>
        <v/>
      </c>
      <c r="E126" s="6">
        <f>D126-C126</f>
        <v/>
      </c>
      <c r="F126" s="7" t="inlineStr">
        <is>
          <t>權益</t>
        </is>
      </c>
    </row>
    <row r="127">
      <c r="A127" s="5" t="inlineStr">
        <is>
          <t>3420</t>
        </is>
      </c>
      <c r="B127" s="5" t="inlineStr">
        <is>
          <t>特別盈餘公積</t>
        </is>
      </c>
      <c r="C127" s="6">
        <f>SUMIFS(日記簿!$F$2:$F$100,日記簿!$D$2:$D$100,A127)</f>
        <v/>
      </c>
      <c r="D127" s="6">
        <f>SUMIFS(日記簿!$G$2:$G$100,日記簿!$D$2:$D$100,A127)</f>
        <v/>
      </c>
      <c r="E127" s="6">
        <f>D127-C127</f>
        <v/>
      </c>
      <c r="F127" s="7" t="inlineStr">
        <is>
          <t>權益</t>
        </is>
      </c>
    </row>
    <row r="128">
      <c r="A128" s="5" t="inlineStr">
        <is>
          <t>3430</t>
        </is>
      </c>
      <c r="B128" s="5" t="inlineStr">
        <is>
          <t>累積盈虧</t>
        </is>
      </c>
      <c r="C128" s="6">
        <f>SUMIFS(日記簿!$F$2:$F$100,日記簿!$D$2:$D$100,A128)</f>
        <v/>
      </c>
      <c r="D128" s="6">
        <f>SUMIFS(日記簿!$G$2:$G$100,日記簿!$D$2:$D$100,A128)</f>
        <v/>
      </c>
      <c r="E128" s="6">
        <f>D128-C128</f>
        <v/>
      </c>
      <c r="F128" s="7" t="inlineStr">
        <is>
          <t>權益</t>
        </is>
      </c>
    </row>
    <row r="129">
      <c r="A129" s="5" t="inlineStr">
        <is>
          <t>3434</t>
        </is>
      </c>
      <c r="B129" s="5" t="inlineStr">
        <is>
          <t>追溯適用及追溯重編之影響數</t>
        </is>
      </c>
      <c r="C129" s="6">
        <f>SUMIFS(日記簿!$F$2:$F$100,日記簿!$D$2:$D$100,A129)</f>
        <v/>
      </c>
      <c r="D129" s="6">
        <f>SUMIFS(日記簿!$G$2:$G$100,日記簿!$D$2:$D$100,A129)</f>
        <v/>
      </c>
      <c r="E129" s="6">
        <f>D129-C129</f>
        <v/>
      </c>
      <c r="F129" s="7" t="inlineStr">
        <is>
          <t>權益</t>
        </is>
      </c>
    </row>
    <row r="130">
      <c r="A130" s="5" t="inlineStr">
        <is>
          <t>3435</t>
        </is>
      </c>
      <c r="B130" s="5" t="inlineStr">
        <is>
          <t>本年度其他綜合損益轉入之稅後淨額</t>
        </is>
      </c>
      <c r="C130" s="6">
        <f>SUMIFS(日記簿!$F$2:$F$100,日記簿!$D$2:$D$100,A130)</f>
        <v/>
      </c>
      <c r="D130" s="6">
        <f>SUMIFS(日記簿!$G$2:$G$100,日記簿!$D$2:$D$100,A130)</f>
        <v/>
      </c>
      <c r="E130" s="6">
        <f>D130-C130</f>
        <v/>
      </c>
      <c r="F130" s="7" t="inlineStr">
        <is>
          <t>權益</t>
        </is>
      </c>
    </row>
    <row r="131">
      <c r="A131" s="5" t="inlineStr">
        <is>
          <t>3440</t>
        </is>
      </c>
      <c r="B131" s="5" t="inlineStr">
        <is>
          <t>本期損益　　(結算科目，請勿複製)</t>
        </is>
      </c>
      <c r="C131" s="6">
        <f>SUMIFS(日記簿!$F$2:$F$100,日記簿!$D$2:$D$100,A131)</f>
        <v/>
      </c>
      <c r="D131" s="6">
        <f>SUMIFS(日記簿!$G$2:$G$100,日記簿!$D$2:$D$100,A131)</f>
        <v/>
      </c>
      <c r="E131" s="6">
        <f>D131-C131</f>
        <v/>
      </c>
      <c r="F131" s="7" t="inlineStr">
        <is>
          <t>權益</t>
        </is>
      </c>
    </row>
    <row r="132">
      <c r="A132" s="5" t="inlineStr">
        <is>
          <t>3502</t>
        </is>
      </c>
      <c r="B132" s="5" t="inlineStr">
        <is>
          <t>避險中屬有效避險部分之避險工具損益</t>
        </is>
      </c>
      <c r="C132" s="6">
        <f>SUMIFS(日記簿!$F$2:$F$100,日記簿!$D$2:$D$100,A132)</f>
        <v/>
      </c>
      <c r="D132" s="6">
        <f>SUMIFS(日記簿!$G$2:$G$100,日記簿!$D$2:$D$100,A132)</f>
        <v/>
      </c>
      <c r="E132" s="6">
        <f>D132-C132</f>
        <v/>
      </c>
      <c r="F132" s="7" t="inlineStr">
        <is>
          <t>權益</t>
        </is>
      </c>
    </row>
    <row r="133">
      <c r="A133" s="5" t="inlineStr">
        <is>
          <t>3503</t>
        </is>
      </c>
      <c r="B133" s="5" t="inlineStr">
        <is>
          <t>國外營運機構財務報表換算之兌換差額</t>
        </is>
      </c>
      <c r="C133" s="6">
        <f>SUMIFS(日記簿!$F$2:$F$100,日記簿!$D$2:$D$100,A133)</f>
        <v/>
      </c>
      <c r="D133" s="6">
        <f>SUMIFS(日記簿!$G$2:$G$100,日記簿!$D$2:$D$100,A133)</f>
        <v/>
      </c>
      <c r="E133" s="6">
        <f>D133-C133</f>
        <v/>
      </c>
      <c r="F133" s="7" t="inlineStr">
        <is>
          <t>權益</t>
        </is>
      </c>
    </row>
    <row r="134">
      <c r="A134" s="5" t="inlineStr">
        <is>
          <t>3504</t>
        </is>
      </c>
      <c r="B134" s="5" t="inlineStr">
        <is>
          <t>未實現重估增值</t>
        </is>
      </c>
      <c r="C134" s="6">
        <f>SUMIFS(日記簿!$F$2:$F$100,日記簿!$D$2:$D$100,A134)</f>
        <v/>
      </c>
      <c r="D134" s="6">
        <f>SUMIFS(日記簿!$G$2:$G$100,日記簿!$D$2:$D$100,A134)</f>
        <v/>
      </c>
      <c r="E134" s="6">
        <f>D134-C134</f>
        <v/>
      </c>
      <c r="F134" s="7" t="inlineStr">
        <is>
          <t>權益</t>
        </is>
      </c>
    </row>
    <row r="135">
      <c r="A135" s="5" t="inlineStr">
        <is>
          <t>3505</t>
        </is>
      </c>
      <c r="B135" s="5" t="inlineStr">
        <is>
          <t>確定福利計畫再衡量數</t>
        </is>
      </c>
      <c r="C135" s="6">
        <f>SUMIFS(日記簿!$F$2:$F$100,日記簿!$D$2:$D$100,A135)</f>
        <v/>
      </c>
      <c r="D135" s="6">
        <f>SUMIFS(日記簿!$G$2:$G$100,日記簿!$D$2:$D$100,A135)</f>
        <v/>
      </c>
      <c r="E135" s="6">
        <f>D135-C135</f>
        <v/>
      </c>
      <c r="F135" s="7" t="inlineStr">
        <is>
          <t>權益</t>
        </is>
      </c>
    </row>
    <row r="136">
      <c r="A136" s="5" t="inlineStr">
        <is>
          <t>3507</t>
        </is>
      </c>
      <c r="B136" s="5" t="inlineStr">
        <is>
          <t>透過其他綜合損益按公允價值衡量之未實現損益</t>
        </is>
      </c>
      <c r="C136" s="6">
        <f>SUMIFS(日記簿!$F$2:$F$100,日記簿!$D$2:$D$100,A136)</f>
        <v/>
      </c>
      <c r="D136" s="6">
        <f>SUMIFS(日記簿!$G$2:$G$100,日記簿!$D$2:$D$100,A136)</f>
        <v/>
      </c>
      <c r="E136" s="6">
        <f>D136-C136</f>
        <v/>
      </c>
      <c r="F136" s="7" t="inlineStr">
        <is>
          <t>權益</t>
        </is>
      </c>
    </row>
    <row r="137">
      <c r="A137" s="5" t="inlineStr">
        <is>
          <t>3506</t>
        </is>
      </c>
      <c r="B137" s="5" t="inlineStr">
        <is>
          <t>其他權益-其他</t>
        </is>
      </c>
      <c r="C137" s="6">
        <f>SUMIFS(日記簿!$F$2:$F$100,日記簿!$D$2:$D$100,A137)</f>
        <v/>
      </c>
      <c r="D137" s="6">
        <f>SUMIFS(日記簿!$G$2:$G$100,日記簿!$D$2:$D$100,A137)</f>
        <v/>
      </c>
      <c r="E137" s="6">
        <f>D137-C137</f>
        <v/>
      </c>
      <c r="F137" s="7" t="inlineStr">
        <is>
          <t>權益</t>
        </is>
      </c>
    </row>
    <row r="138">
      <c r="A138" s="5" t="inlineStr">
        <is>
          <t>3600</t>
        </is>
      </c>
      <c r="B138" s="5" t="inlineStr">
        <is>
          <t>減:庫藏股票</t>
        </is>
      </c>
      <c r="C138" s="6">
        <f>SUMIFS(日記簿!$F$2:$F$100,日記簿!$D$2:$D$100,A138)</f>
        <v/>
      </c>
      <c r="D138" s="6">
        <f>SUMIFS(日記簿!$G$2:$G$100,日記簿!$D$2:$D$100,A138)</f>
        <v/>
      </c>
      <c r="E138" s="6">
        <f>C138-D138</f>
        <v/>
      </c>
      <c r="F138" s="7" t="inlineStr">
        <is>
          <t>權益</t>
        </is>
      </c>
    </row>
    <row r="139">
      <c r="A139" s="5" t="inlineStr">
        <is>
          <t>4100</t>
        </is>
      </c>
      <c r="B139" s="5" t="inlineStr">
        <is>
          <t>銷貨收入</t>
        </is>
      </c>
      <c r="C139" s="6">
        <f>SUMIFS(日記簿!$F$2:$F$100,日記簿!$D$2:$D$100,A139)</f>
        <v/>
      </c>
      <c r="D139" s="6">
        <f>SUMIFS(日記簿!$G$2:$G$100,日記簿!$D$2:$D$100,A139)</f>
        <v/>
      </c>
      <c r="E139" s="6">
        <f>D139-C139</f>
        <v/>
      </c>
      <c r="F139" s="7" t="inlineStr">
        <is>
          <t>收入</t>
        </is>
      </c>
    </row>
    <row r="140">
      <c r="A140" s="5" t="inlineStr">
        <is>
          <t>4110</t>
        </is>
      </c>
      <c r="B140" s="5" t="inlineStr">
        <is>
          <t>減:銷貨退回</t>
        </is>
      </c>
      <c r="C140" s="6">
        <f>SUMIFS(日記簿!$F$2:$F$100,日記簿!$D$2:$D$100,A140)</f>
        <v/>
      </c>
      <c r="D140" s="6">
        <f>SUMIFS(日記簿!$G$2:$G$100,日記簿!$D$2:$D$100,A140)</f>
        <v/>
      </c>
      <c r="E140" s="6">
        <f>C140-D140</f>
        <v/>
      </c>
      <c r="F140" s="7" t="inlineStr">
        <is>
          <t>收入</t>
        </is>
      </c>
    </row>
    <row r="141">
      <c r="A141" s="5" t="inlineStr">
        <is>
          <t>4120</t>
        </is>
      </c>
      <c r="B141" s="5" t="inlineStr">
        <is>
          <t>減:銷貨折讓</t>
        </is>
      </c>
      <c r="C141" s="6">
        <f>SUMIFS(日記簿!$F$2:$F$100,日記簿!$D$2:$D$100,A141)</f>
        <v/>
      </c>
      <c r="D141" s="6">
        <f>SUMIFS(日記簿!$G$2:$G$100,日記簿!$D$2:$D$100,A141)</f>
        <v/>
      </c>
      <c r="E141" s="6">
        <f>C141-D141</f>
        <v/>
      </c>
      <c r="F141" s="7" t="inlineStr">
        <is>
          <t>收入</t>
        </is>
      </c>
    </row>
    <row r="142">
      <c r="A142" s="5" t="inlineStr">
        <is>
          <t>4200</t>
        </is>
      </c>
      <c r="B142" s="5" t="inlineStr">
        <is>
          <t>勞務收入</t>
        </is>
      </c>
      <c r="C142" s="6">
        <f>SUMIFS(日記簿!$F$2:$F$100,日記簿!$D$2:$D$100,A142)</f>
        <v/>
      </c>
      <c r="D142" s="6">
        <f>SUMIFS(日記簿!$G$2:$G$100,日記簿!$D$2:$D$100,A142)</f>
        <v/>
      </c>
      <c r="E142" s="6">
        <f>D142-C142</f>
        <v/>
      </c>
      <c r="F142" s="7" t="inlineStr">
        <is>
          <t>收入</t>
        </is>
      </c>
    </row>
    <row r="143">
      <c r="A143" s="5" t="inlineStr">
        <is>
          <t>4300</t>
        </is>
      </c>
      <c r="B143" s="5" t="inlineStr">
        <is>
          <t>加工收入</t>
        </is>
      </c>
      <c r="C143" s="6">
        <f>SUMIFS(日記簿!$F$2:$F$100,日記簿!$D$2:$D$100,A143)</f>
        <v/>
      </c>
      <c r="D143" s="6">
        <f>SUMIFS(日記簿!$G$2:$G$100,日記簿!$D$2:$D$100,A143)</f>
        <v/>
      </c>
      <c r="E143" s="6">
        <f>D143-C143</f>
        <v/>
      </c>
      <c r="F143" s="7" t="inlineStr">
        <is>
          <t>收入</t>
        </is>
      </c>
    </row>
    <row r="144">
      <c r="A144" s="5" t="inlineStr">
        <is>
          <t>4400</t>
        </is>
      </c>
      <c r="B144" s="5" t="inlineStr">
        <is>
          <t>工程收入</t>
        </is>
      </c>
      <c r="C144" s="6">
        <f>SUMIFS(日記簿!$F$2:$F$100,日記簿!$D$2:$D$100,A144)</f>
        <v/>
      </c>
      <c r="D144" s="6">
        <f>SUMIFS(日記簿!$G$2:$G$100,日記簿!$D$2:$D$100,A144)</f>
        <v/>
      </c>
      <c r="E144" s="6">
        <f>D144-C144</f>
        <v/>
      </c>
      <c r="F144" s="7" t="inlineStr">
        <is>
          <t>收入</t>
        </is>
      </c>
    </row>
    <row r="145">
      <c r="A145" s="5" t="inlineStr">
        <is>
          <t>5100</t>
        </is>
      </c>
      <c r="B145" s="5" t="inlineStr">
        <is>
          <t>銷貨成本</t>
        </is>
      </c>
      <c r="C145" s="6">
        <f>SUMIFS(日記簿!$F$2:$F$100,日記簿!$D$2:$D$100,A145)</f>
        <v/>
      </c>
      <c r="D145" s="6">
        <f>SUMIFS(日記簿!$G$2:$G$100,日記簿!$D$2:$D$100,A145)</f>
        <v/>
      </c>
      <c r="E145" s="6">
        <f>C145-D145</f>
        <v/>
      </c>
      <c r="F145" s="7" t="inlineStr">
        <is>
          <t>銷貨成本</t>
        </is>
      </c>
    </row>
    <row r="146">
      <c r="A146" s="5" t="inlineStr">
        <is>
          <t>5200</t>
        </is>
      </c>
      <c r="B146" s="5" t="inlineStr">
        <is>
          <t>勞務成本</t>
        </is>
      </c>
      <c r="C146" s="6">
        <f>SUMIFS(日記簿!$F$2:$F$100,日記簿!$D$2:$D$100,A146)</f>
        <v/>
      </c>
      <c r="D146" s="6">
        <f>SUMIFS(日記簿!$G$2:$G$100,日記簿!$D$2:$D$100,A146)</f>
        <v/>
      </c>
      <c r="E146" s="6">
        <f>C146-D146</f>
        <v/>
      </c>
      <c r="F146" s="7" t="inlineStr">
        <is>
          <t>銷貨成本</t>
        </is>
      </c>
    </row>
    <row r="147">
      <c r="A147" s="5" t="inlineStr">
        <is>
          <t>5300</t>
        </is>
      </c>
      <c r="B147" s="5" t="inlineStr">
        <is>
          <t>加工成本</t>
        </is>
      </c>
      <c r="C147" s="6">
        <f>SUMIFS(日記簿!$F$2:$F$100,日記簿!$D$2:$D$100,A147)</f>
        <v/>
      </c>
      <c r="D147" s="6">
        <f>SUMIFS(日記簿!$G$2:$G$100,日記簿!$D$2:$D$100,A147)</f>
        <v/>
      </c>
      <c r="E147" s="6">
        <f>C147-D147</f>
        <v/>
      </c>
      <c r="F147" s="7" t="inlineStr">
        <is>
          <t>銷貨成本</t>
        </is>
      </c>
    </row>
    <row r="148">
      <c r="A148" s="5" t="inlineStr">
        <is>
          <t>5400</t>
        </is>
      </c>
      <c r="B148" s="5" t="inlineStr">
        <is>
          <t>工程成本</t>
        </is>
      </c>
      <c r="C148" s="6">
        <f>SUMIFS(日記簿!$F$2:$F$100,日記簿!$D$2:$D$100,A148)</f>
        <v/>
      </c>
      <c r="D148" s="6">
        <f>SUMIFS(日記簿!$G$2:$G$100,日記簿!$D$2:$D$100,A148)</f>
        <v/>
      </c>
      <c r="E148" s="6">
        <f>C148-D148</f>
        <v/>
      </c>
      <c r="F148" s="7" t="inlineStr">
        <is>
          <t>銷貨成本</t>
        </is>
      </c>
    </row>
    <row r="149">
      <c r="A149" s="5" t="inlineStr">
        <is>
          <t>6010</t>
        </is>
      </c>
      <c r="B149" s="5" t="inlineStr">
        <is>
          <t>薪資支出</t>
        </is>
      </c>
      <c r="C149" s="6">
        <f>SUMIFS(日記簿!$F$2:$F$100,日記簿!$D$2:$D$100,A149)</f>
        <v/>
      </c>
      <c r="D149" s="6">
        <f>SUMIFS(日記簿!$G$2:$G$100,日記簿!$D$2:$D$100,A149)</f>
        <v/>
      </c>
      <c r="E149" s="6">
        <f>C149-D149</f>
        <v/>
      </c>
      <c r="F149" s="7" t="inlineStr">
        <is>
          <t>費用</t>
        </is>
      </c>
    </row>
    <row r="150">
      <c r="A150" s="5" t="inlineStr">
        <is>
          <t>6020</t>
        </is>
      </c>
      <c r="B150" s="5" t="inlineStr">
        <is>
          <t>租金支出</t>
        </is>
      </c>
      <c r="C150" s="6">
        <f>SUMIFS(日記簿!$F$2:$F$100,日記簿!$D$2:$D$100,A150)</f>
        <v/>
      </c>
      <c r="D150" s="6">
        <f>SUMIFS(日記簿!$G$2:$G$100,日記簿!$D$2:$D$100,A150)</f>
        <v/>
      </c>
      <c r="E150" s="6">
        <f>C150-D150</f>
        <v/>
      </c>
      <c r="F150" s="7" t="inlineStr">
        <is>
          <t>費用</t>
        </is>
      </c>
    </row>
    <row r="151">
      <c r="A151" s="5" t="inlineStr">
        <is>
          <t>6030</t>
        </is>
      </c>
      <c r="B151" s="5" t="inlineStr">
        <is>
          <t>文具用品</t>
        </is>
      </c>
      <c r="C151" s="6">
        <f>SUMIFS(日記簿!$F$2:$F$100,日記簿!$D$2:$D$100,A151)</f>
        <v/>
      </c>
      <c r="D151" s="6">
        <f>SUMIFS(日記簿!$G$2:$G$100,日記簿!$D$2:$D$100,A151)</f>
        <v/>
      </c>
      <c r="E151" s="6">
        <f>C151-D151</f>
        <v/>
      </c>
      <c r="F151" s="7" t="inlineStr">
        <is>
          <t>費用</t>
        </is>
      </c>
    </row>
    <row r="152">
      <c r="A152" s="5" t="inlineStr">
        <is>
          <t>6040</t>
        </is>
      </c>
      <c r="B152" s="5" t="inlineStr">
        <is>
          <t>旅費</t>
        </is>
      </c>
      <c r="C152" s="6">
        <f>SUMIFS(日記簿!$F$2:$F$100,日記簿!$D$2:$D$100,A152)</f>
        <v/>
      </c>
      <c r="D152" s="6">
        <f>SUMIFS(日記簿!$G$2:$G$100,日記簿!$D$2:$D$100,A152)</f>
        <v/>
      </c>
      <c r="E152" s="6">
        <f>C152-D152</f>
        <v/>
      </c>
      <c r="F152" s="7" t="inlineStr">
        <is>
          <t>費用</t>
        </is>
      </c>
    </row>
    <row r="153">
      <c r="A153" s="5" t="inlineStr">
        <is>
          <t>6050</t>
        </is>
      </c>
      <c r="B153" s="5" t="inlineStr">
        <is>
          <t>運費</t>
        </is>
      </c>
      <c r="C153" s="6">
        <f>SUMIFS(日記簿!$F$2:$F$100,日記簿!$D$2:$D$100,A153)</f>
        <v/>
      </c>
      <c r="D153" s="6">
        <f>SUMIFS(日記簿!$G$2:$G$100,日記簿!$D$2:$D$100,A153)</f>
        <v/>
      </c>
      <c r="E153" s="6">
        <f>C153-D153</f>
        <v/>
      </c>
      <c r="F153" s="7" t="inlineStr">
        <is>
          <t>費用</t>
        </is>
      </c>
    </row>
    <row r="154">
      <c r="A154" s="5" t="inlineStr">
        <is>
          <t>6060</t>
        </is>
      </c>
      <c r="B154" s="5" t="inlineStr">
        <is>
          <t>郵電費</t>
        </is>
      </c>
      <c r="C154" s="6">
        <f>SUMIFS(日記簿!$F$2:$F$100,日記簿!$D$2:$D$100,A154)</f>
        <v/>
      </c>
      <c r="D154" s="6">
        <f>SUMIFS(日記簿!$G$2:$G$100,日記簿!$D$2:$D$100,A154)</f>
        <v/>
      </c>
      <c r="E154" s="6">
        <f>C154-D154</f>
        <v/>
      </c>
      <c r="F154" s="7" t="inlineStr">
        <is>
          <t>費用</t>
        </is>
      </c>
    </row>
    <row r="155">
      <c r="A155" s="5" t="inlineStr">
        <is>
          <t>6070</t>
        </is>
      </c>
      <c r="B155" s="5" t="inlineStr">
        <is>
          <t>修繕費</t>
        </is>
      </c>
      <c r="C155" s="6">
        <f>SUMIFS(日記簿!$F$2:$F$100,日記簿!$D$2:$D$100,A155)</f>
        <v/>
      </c>
      <c r="D155" s="6">
        <f>SUMIFS(日記簿!$G$2:$G$100,日記簿!$D$2:$D$100,A155)</f>
        <v/>
      </c>
      <c r="E155" s="6">
        <f>C155-D155</f>
        <v/>
      </c>
      <c r="F155" s="7" t="inlineStr">
        <is>
          <t>費用</t>
        </is>
      </c>
    </row>
    <row r="156">
      <c r="A156" s="5" t="inlineStr">
        <is>
          <t>6080</t>
        </is>
      </c>
      <c r="B156" s="5" t="inlineStr">
        <is>
          <t>廣告費</t>
        </is>
      </c>
      <c r="C156" s="6">
        <f>SUMIFS(日記簿!$F$2:$F$100,日記簿!$D$2:$D$100,A156)</f>
        <v/>
      </c>
      <c r="D156" s="6">
        <f>SUMIFS(日記簿!$G$2:$G$100,日記簿!$D$2:$D$100,A156)</f>
        <v/>
      </c>
      <c r="E156" s="6">
        <f>C156-D156</f>
        <v/>
      </c>
      <c r="F156" s="7" t="inlineStr">
        <is>
          <t>費用</t>
        </is>
      </c>
    </row>
    <row r="157">
      <c r="A157" s="5" t="inlineStr">
        <is>
          <t>6090</t>
        </is>
      </c>
      <c r="B157" s="5" t="inlineStr">
        <is>
          <t>水電瓦斯費</t>
        </is>
      </c>
      <c r="C157" s="6">
        <f>SUMIFS(日記簿!$F$2:$F$100,日記簿!$D$2:$D$100,A157)</f>
        <v/>
      </c>
      <c r="D157" s="6">
        <f>SUMIFS(日記簿!$G$2:$G$100,日記簿!$D$2:$D$100,A157)</f>
        <v/>
      </c>
      <c r="E157" s="6">
        <f>C157-D157</f>
        <v/>
      </c>
      <c r="F157" s="7" t="inlineStr">
        <is>
          <t>費用</t>
        </is>
      </c>
    </row>
    <row r="158">
      <c r="A158" s="5" t="inlineStr">
        <is>
          <t>6100</t>
        </is>
      </c>
      <c r="B158" s="5" t="inlineStr">
        <is>
          <t>保險費</t>
        </is>
      </c>
      <c r="C158" s="6">
        <f>SUMIFS(日記簿!$F$2:$F$100,日記簿!$D$2:$D$100,A158)</f>
        <v/>
      </c>
      <c r="D158" s="6">
        <f>SUMIFS(日記簿!$G$2:$G$100,日記簿!$D$2:$D$100,A158)</f>
        <v/>
      </c>
      <c r="E158" s="6">
        <f>C158-D158</f>
        <v/>
      </c>
      <c r="F158" s="7" t="inlineStr">
        <is>
          <t>費用</t>
        </is>
      </c>
    </row>
    <row r="159">
      <c r="A159" s="5" t="inlineStr">
        <is>
          <t>6110</t>
        </is>
      </c>
      <c r="B159" s="5" t="inlineStr">
        <is>
          <t>交際費</t>
        </is>
      </c>
      <c r="C159" s="6">
        <f>SUMIFS(日記簿!$F$2:$F$100,日記簿!$D$2:$D$100,A159)</f>
        <v/>
      </c>
      <c r="D159" s="6">
        <f>SUMIFS(日記簿!$G$2:$G$100,日記簿!$D$2:$D$100,A159)</f>
        <v/>
      </c>
      <c r="E159" s="6">
        <f>C159-D159</f>
        <v/>
      </c>
      <c r="F159" s="7" t="inlineStr">
        <is>
          <t>費用</t>
        </is>
      </c>
    </row>
    <row r="160">
      <c r="A160" s="5" t="inlineStr">
        <is>
          <t>6120</t>
        </is>
      </c>
      <c r="B160" s="5" t="inlineStr">
        <is>
          <t>捐贈</t>
        </is>
      </c>
      <c r="C160" s="6">
        <f>SUMIFS(日記簿!$F$2:$F$100,日記簿!$D$2:$D$100,A160)</f>
        <v/>
      </c>
      <c r="D160" s="6">
        <f>SUMIFS(日記簿!$G$2:$G$100,日記簿!$D$2:$D$100,A160)</f>
        <v/>
      </c>
      <c r="E160" s="6">
        <f>C160-D160</f>
        <v/>
      </c>
      <c r="F160" s="7" t="inlineStr">
        <is>
          <t>費用</t>
        </is>
      </c>
    </row>
    <row r="161">
      <c r="A161" s="5" t="inlineStr">
        <is>
          <t>6130</t>
        </is>
      </c>
      <c r="B161" s="5" t="inlineStr">
        <is>
          <t>稅捐</t>
        </is>
      </c>
      <c r="C161" s="6">
        <f>SUMIFS(日記簿!$F$2:$F$100,日記簿!$D$2:$D$100,A161)</f>
        <v/>
      </c>
      <c r="D161" s="6">
        <f>SUMIFS(日記簿!$G$2:$G$100,日記簿!$D$2:$D$100,A161)</f>
        <v/>
      </c>
      <c r="E161" s="6">
        <f>C161-D161</f>
        <v/>
      </c>
      <c r="F161" s="7" t="inlineStr">
        <is>
          <t>費用</t>
        </is>
      </c>
    </row>
    <row r="162">
      <c r="A162" s="5" t="inlineStr">
        <is>
          <t>6140</t>
        </is>
      </c>
      <c r="B162" s="5" t="inlineStr">
        <is>
          <t>呆帳損失</t>
        </is>
      </c>
      <c r="C162" s="6">
        <f>SUMIFS(日記簿!$F$2:$F$100,日記簿!$D$2:$D$100,A162)</f>
        <v/>
      </c>
      <c r="D162" s="6">
        <f>SUMIFS(日記簿!$G$2:$G$100,日記簿!$D$2:$D$100,A162)</f>
        <v/>
      </c>
      <c r="E162" s="6">
        <f>C162-D162</f>
        <v/>
      </c>
      <c r="F162" s="7" t="inlineStr">
        <is>
          <t>費用</t>
        </is>
      </c>
    </row>
    <row r="163">
      <c r="A163" s="5" t="inlineStr">
        <is>
          <t>6150</t>
        </is>
      </c>
      <c r="B163" s="5" t="inlineStr">
        <is>
          <t>折舊</t>
        </is>
      </c>
      <c r="C163" s="6">
        <f>SUMIFS(日記簿!$F$2:$F$100,日記簿!$D$2:$D$100,A163)</f>
        <v/>
      </c>
      <c r="D163" s="6">
        <f>SUMIFS(日記簿!$G$2:$G$100,日記簿!$D$2:$D$100,A163)</f>
        <v/>
      </c>
      <c r="E163" s="6">
        <f>C163-D163</f>
        <v/>
      </c>
      <c r="F163" s="7" t="inlineStr">
        <is>
          <t>費用</t>
        </is>
      </c>
    </row>
    <row r="164">
      <c r="A164" s="5" t="inlineStr">
        <is>
          <t>6160</t>
        </is>
      </c>
      <c r="B164" s="5" t="inlineStr">
        <is>
          <t>各項耗竭及攤提</t>
        </is>
      </c>
      <c r="C164" s="6">
        <f>SUMIFS(日記簿!$F$2:$F$100,日記簿!$D$2:$D$100,A164)</f>
        <v/>
      </c>
      <c r="D164" s="6">
        <f>SUMIFS(日記簿!$G$2:$G$100,日記簿!$D$2:$D$100,A164)</f>
        <v/>
      </c>
      <c r="E164" s="6">
        <f>C164-D164</f>
        <v/>
      </c>
      <c r="F164" s="7" t="inlineStr">
        <is>
          <t>費用</t>
        </is>
      </c>
    </row>
    <row r="165">
      <c r="A165" s="5" t="inlineStr">
        <is>
          <t>6170</t>
        </is>
      </c>
      <c r="B165" s="5" t="inlineStr">
        <is>
          <t>外銷損失</t>
        </is>
      </c>
      <c r="C165" s="6">
        <f>SUMIFS(日記簿!$F$2:$F$100,日記簿!$D$2:$D$100,A165)</f>
        <v/>
      </c>
      <c r="D165" s="6">
        <f>SUMIFS(日記簿!$G$2:$G$100,日記簿!$D$2:$D$100,A165)</f>
        <v/>
      </c>
      <c r="E165" s="6">
        <f>C165-D165</f>
        <v/>
      </c>
      <c r="F165" s="7" t="inlineStr">
        <is>
          <t>費用</t>
        </is>
      </c>
    </row>
    <row r="166">
      <c r="A166" s="5" t="inlineStr">
        <is>
          <t>6180</t>
        </is>
      </c>
      <c r="B166" s="5" t="inlineStr">
        <is>
          <t>伙食費</t>
        </is>
      </c>
      <c r="C166" s="6">
        <f>SUMIFS(日記簿!$F$2:$F$100,日記簿!$D$2:$D$100,A166)</f>
        <v/>
      </c>
      <c r="D166" s="6">
        <f>SUMIFS(日記簿!$G$2:$G$100,日記簿!$D$2:$D$100,A166)</f>
        <v/>
      </c>
      <c r="E166" s="6">
        <f>C166-D166</f>
        <v/>
      </c>
      <c r="F166" s="7" t="inlineStr">
        <is>
          <t>費用</t>
        </is>
      </c>
    </row>
    <row r="167">
      <c r="A167" s="5" t="inlineStr">
        <is>
          <t>6190</t>
        </is>
      </c>
      <c r="B167" s="5" t="inlineStr">
        <is>
          <t>職工福利</t>
        </is>
      </c>
      <c r="C167" s="6">
        <f>SUMIFS(日記簿!$F$2:$F$100,日記簿!$D$2:$D$100,A167)</f>
        <v/>
      </c>
      <c r="D167" s="6">
        <f>SUMIFS(日記簿!$G$2:$G$100,日記簿!$D$2:$D$100,A167)</f>
        <v/>
      </c>
      <c r="E167" s="6">
        <f>C167-D167</f>
        <v/>
      </c>
      <c r="F167" s="7" t="inlineStr">
        <is>
          <t>費用</t>
        </is>
      </c>
    </row>
    <row r="168">
      <c r="A168" s="5" t="inlineStr">
        <is>
          <t>6200</t>
        </is>
      </c>
      <c r="B168" s="5" t="inlineStr">
        <is>
          <t>研究費</t>
        </is>
      </c>
      <c r="C168" s="6">
        <f>SUMIFS(日記簿!$F$2:$F$100,日記簿!$D$2:$D$100,A168)</f>
        <v/>
      </c>
      <c r="D168" s="6">
        <f>SUMIFS(日記簿!$G$2:$G$100,日記簿!$D$2:$D$100,A168)</f>
        <v/>
      </c>
      <c r="E168" s="6">
        <f>C168-D168</f>
        <v/>
      </c>
      <c r="F168" s="7" t="inlineStr">
        <is>
          <t>費用</t>
        </is>
      </c>
    </row>
    <row r="169">
      <c r="A169" s="5" t="inlineStr">
        <is>
          <t>6210</t>
        </is>
      </c>
      <c r="B169" s="5" t="inlineStr">
        <is>
          <t>佣金支出</t>
        </is>
      </c>
      <c r="C169" s="6">
        <f>SUMIFS(日記簿!$F$2:$F$100,日記簿!$D$2:$D$100,A169)</f>
        <v/>
      </c>
      <c r="D169" s="6">
        <f>SUMIFS(日記簿!$G$2:$G$100,日記簿!$D$2:$D$100,A169)</f>
        <v/>
      </c>
      <c r="E169" s="6">
        <f>C169-D169</f>
        <v/>
      </c>
      <c r="F169" s="7" t="inlineStr">
        <is>
          <t>費用</t>
        </is>
      </c>
    </row>
    <row r="170">
      <c r="A170" s="5" t="inlineStr">
        <is>
          <t>6220</t>
        </is>
      </c>
      <c r="B170" s="5" t="inlineStr">
        <is>
          <t>訓練費</t>
        </is>
      </c>
      <c r="C170" s="6">
        <f>SUMIFS(日記簿!$F$2:$F$100,日記簿!$D$2:$D$100,A170)</f>
        <v/>
      </c>
      <c r="D170" s="6">
        <f>SUMIFS(日記簿!$G$2:$G$100,日記簿!$D$2:$D$100,A170)</f>
        <v/>
      </c>
      <c r="E170" s="6">
        <f>C170-D170</f>
        <v/>
      </c>
      <c r="F170" s="7" t="inlineStr">
        <is>
          <t>費用</t>
        </is>
      </c>
    </row>
    <row r="171">
      <c r="A171" s="5" t="inlineStr">
        <is>
          <t>6230</t>
        </is>
      </c>
      <c r="B171" s="5" t="inlineStr">
        <is>
          <t>其他費用</t>
        </is>
      </c>
      <c r="C171" s="6">
        <f>SUMIFS(日記簿!$F$2:$F$100,日記簿!$D$2:$D$100,A171)</f>
        <v/>
      </c>
      <c r="D171" s="6">
        <f>SUMIFS(日記簿!$G$2:$G$100,日記簿!$D$2:$D$100,A171)</f>
        <v/>
      </c>
      <c r="E171" s="6">
        <f>C171-D171</f>
        <v/>
      </c>
      <c r="F171" s="7" t="inlineStr">
        <is>
          <t>費用</t>
        </is>
      </c>
    </row>
    <row r="172">
      <c r="A172" s="5" t="inlineStr">
        <is>
          <t>6240</t>
        </is>
      </c>
      <c r="B172" s="5" t="inlineStr">
        <is>
          <t>加班費</t>
        </is>
      </c>
      <c r="C172" s="6">
        <f>SUMIFS(日記簿!$F$2:$F$100,日記簿!$D$2:$D$100,A172)</f>
        <v/>
      </c>
      <c r="D172" s="6">
        <f>SUMIFS(日記簿!$G$2:$G$100,日記簿!$D$2:$D$100,A172)</f>
        <v/>
      </c>
      <c r="E172" s="6">
        <f>C172-D172</f>
        <v/>
      </c>
      <c r="F172" s="7" t="inlineStr">
        <is>
          <t>費用</t>
        </is>
      </c>
    </row>
    <row r="173">
      <c r="A173" s="5" t="inlineStr">
        <is>
          <t>6250</t>
        </is>
      </c>
      <c r="B173" s="5" t="inlineStr">
        <is>
          <t>退休金</t>
        </is>
      </c>
      <c r="C173" s="6">
        <f>SUMIFS(日記簿!$F$2:$F$100,日記簿!$D$2:$D$100,A173)</f>
        <v/>
      </c>
      <c r="D173" s="6">
        <f>SUMIFS(日記簿!$G$2:$G$100,日記簿!$D$2:$D$100,A173)</f>
        <v/>
      </c>
      <c r="E173" s="6">
        <f>C173-D173</f>
        <v/>
      </c>
      <c r="F173" s="7" t="inlineStr">
        <is>
          <t>費用</t>
        </is>
      </c>
    </row>
    <row r="174">
      <c r="A174" s="5" t="inlineStr">
        <is>
          <t>6260</t>
        </is>
      </c>
      <c r="B174" s="5" t="inlineStr">
        <is>
          <t>書報雜誌</t>
        </is>
      </c>
      <c r="C174" s="6">
        <f>SUMIFS(日記簿!$F$2:$F$100,日記簿!$D$2:$D$100,A174)</f>
        <v/>
      </c>
      <c r="D174" s="6">
        <f>SUMIFS(日記簿!$G$2:$G$100,日記簿!$D$2:$D$100,A174)</f>
        <v/>
      </c>
      <c r="E174" s="6">
        <f>C174-D174</f>
        <v/>
      </c>
      <c r="F174" s="7" t="inlineStr">
        <is>
          <t>費用</t>
        </is>
      </c>
    </row>
    <row r="175">
      <c r="A175" s="5" t="inlineStr">
        <is>
          <t>6270</t>
        </is>
      </c>
      <c r="B175" s="5" t="inlineStr">
        <is>
          <t>雜項購置</t>
        </is>
      </c>
      <c r="C175" s="6">
        <f>SUMIFS(日記簿!$F$2:$F$100,日記簿!$D$2:$D$100,A175)</f>
        <v/>
      </c>
      <c r="D175" s="6">
        <f>SUMIFS(日記簿!$G$2:$G$100,日記簿!$D$2:$D$100,A175)</f>
        <v/>
      </c>
      <c r="E175" s="6">
        <f>C175-D175</f>
        <v/>
      </c>
      <c r="F175" s="7" t="inlineStr">
        <is>
          <t>費用</t>
        </is>
      </c>
    </row>
    <row r="176">
      <c r="A176" s="5" t="inlineStr">
        <is>
          <t>6280</t>
        </is>
      </c>
      <c r="B176" s="5" t="inlineStr">
        <is>
          <t>出口費用</t>
        </is>
      </c>
      <c r="C176" s="6">
        <f>SUMIFS(日記簿!$F$2:$F$100,日記簿!$D$2:$D$100,A176)</f>
        <v/>
      </c>
      <c r="D176" s="6">
        <f>SUMIFS(日記簿!$G$2:$G$100,日記簿!$D$2:$D$100,A176)</f>
        <v/>
      </c>
      <c r="E176" s="6">
        <f>C176-D176</f>
        <v/>
      </c>
      <c r="F176" s="7" t="inlineStr">
        <is>
          <t>費用</t>
        </is>
      </c>
    </row>
    <row r="177">
      <c r="A177" s="5" t="inlineStr">
        <is>
          <t>6290</t>
        </is>
      </c>
      <c r="B177" s="5" t="inlineStr">
        <is>
          <t>手續費</t>
        </is>
      </c>
      <c r="C177" s="6">
        <f>SUMIFS(日記簿!$F$2:$F$100,日記簿!$D$2:$D$100,A177)</f>
        <v/>
      </c>
      <c r="D177" s="6">
        <f>SUMIFS(日記簿!$G$2:$G$100,日記簿!$D$2:$D$100,A177)</f>
        <v/>
      </c>
      <c r="E177" s="6">
        <f>C177-D177</f>
        <v/>
      </c>
      <c r="F177" s="7" t="inlineStr">
        <is>
          <t>費用</t>
        </is>
      </c>
    </row>
    <row r="178">
      <c r="A178" s="5" t="inlineStr">
        <is>
          <t>6300</t>
        </is>
      </c>
      <c r="B178" s="5" t="inlineStr">
        <is>
          <t>匯費</t>
        </is>
      </c>
      <c r="C178" s="6">
        <f>SUMIFS(日記簿!$F$2:$F$100,日記簿!$D$2:$D$100,A178)</f>
        <v/>
      </c>
      <c r="D178" s="6">
        <f>SUMIFS(日記簿!$G$2:$G$100,日記簿!$D$2:$D$100,A178)</f>
        <v/>
      </c>
      <c r="E178" s="6">
        <f>C178-D178</f>
        <v/>
      </c>
      <c r="F178" s="7" t="inlineStr">
        <is>
          <t>費用</t>
        </is>
      </c>
    </row>
    <row r="179">
      <c r="A179" s="5" t="inlineStr">
        <is>
          <t>6310</t>
        </is>
      </c>
      <c r="B179" s="5" t="inlineStr">
        <is>
          <t>檢驗費</t>
        </is>
      </c>
      <c r="C179" s="6">
        <f>SUMIFS(日記簿!$F$2:$F$100,日記簿!$D$2:$D$100,A179)</f>
        <v/>
      </c>
      <c r="D179" s="6">
        <f>SUMIFS(日記簿!$G$2:$G$100,日記簿!$D$2:$D$100,A179)</f>
        <v/>
      </c>
      <c r="E179" s="6">
        <f>C179-D179</f>
        <v/>
      </c>
      <c r="F179" s="7" t="inlineStr">
        <is>
          <t>費用</t>
        </is>
      </c>
    </row>
    <row r="180">
      <c r="A180" s="5" t="inlineStr">
        <is>
          <t>6320</t>
        </is>
      </c>
      <c r="B180" s="5" t="inlineStr">
        <is>
          <t>交通費</t>
        </is>
      </c>
      <c r="C180" s="6">
        <f>SUMIFS(日記簿!$F$2:$F$100,日記簿!$D$2:$D$100,A180)</f>
        <v/>
      </c>
      <c r="D180" s="6">
        <f>SUMIFS(日記簿!$G$2:$G$100,日記簿!$D$2:$D$100,A180)</f>
        <v/>
      </c>
      <c r="E180" s="6">
        <f>C180-D180</f>
        <v/>
      </c>
      <c r="F180" s="7" t="inlineStr">
        <is>
          <t>費用</t>
        </is>
      </c>
    </row>
    <row r="181">
      <c r="A181" s="5" t="inlineStr">
        <is>
          <t>6330</t>
        </is>
      </c>
      <c r="B181" s="5" t="inlineStr">
        <is>
          <t>公會費</t>
        </is>
      </c>
      <c r="C181" s="6">
        <f>SUMIFS(日記簿!$F$2:$F$100,日記簿!$D$2:$D$100,A181)</f>
        <v/>
      </c>
      <c r="D181" s="6">
        <f>SUMIFS(日記簿!$G$2:$G$100,日記簿!$D$2:$D$100,A181)</f>
        <v/>
      </c>
      <c r="E181" s="6">
        <f>C181-D181</f>
        <v/>
      </c>
      <c r="F181" s="7" t="inlineStr">
        <is>
          <t>費用</t>
        </is>
      </c>
    </row>
    <row r="182">
      <c r="A182" s="5" t="inlineStr">
        <is>
          <t>6340</t>
        </is>
      </c>
      <c r="B182" s="5" t="inlineStr">
        <is>
          <t>燃料費</t>
        </is>
      </c>
      <c r="C182" s="6">
        <f>SUMIFS(日記簿!$F$2:$F$100,日記簿!$D$2:$D$100,A182)</f>
        <v/>
      </c>
      <c r="D182" s="6">
        <f>SUMIFS(日記簿!$G$2:$G$100,日記簿!$D$2:$D$100,A182)</f>
        <v/>
      </c>
      <c r="E182" s="6">
        <f>C182-D182</f>
        <v/>
      </c>
      <c r="F182" s="7" t="inlineStr">
        <is>
          <t>費用</t>
        </is>
      </c>
    </row>
    <row r="183">
      <c r="A183" s="5" t="inlineStr">
        <is>
          <t>6350</t>
        </is>
      </c>
      <c r="B183" s="5" t="inlineStr">
        <is>
          <t>醫藥費</t>
        </is>
      </c>
      <c r="C183" s="6">
        <f>SUMIFS(日記簿!$F$2:$F$100,日記簿!$D$2:$D$100,A183)</f>
        <v/>
      </c>
      <c r="D183" s="6">
        <f>SUMIFS(日記簿!$G$2:$G$100,日記簿!$D$2:$D$100,A183)</f>
        <v/>
      </c>
      <c r="E183" s="6">
        <f>C183-D183</f>
        <v/>
      </c>
      <c r="F183" s="7" t="inlineStr">
        <is>
          <t>費用</t>
        </is>
      </c>
    </row>
    <row r="184">
      <c r="A184" s="5" t="inlineStr">
        <is>
          <t>6360</t>
        </is>
      </c>
      <c r="B184" s="5" t="inlineStr">
        <is>
          <t>規費</t>
        </is>
      </c>
      <c r="C184" s="6">
        <f>SUMIFS(日記簿!$F$2:$F$100,日記簿!$D$2:$D$100,A184)</f>
        <v/>
      </c>
      <c r="D184" s="6">
        <f>SUMIFS(日記簿!$G$2:$G$100,日記簿!$D$2:$D$100,A184)</f>
        <v/>
      </c>
      <c r="E184" s="6">
        <f>C184-D184</f>
        <v/>
      </c>
      <c r="F184" s="7" t="inlineStr">
        <is>
          <t>費用</t>
        </is>
      </c>
    </row>
    <row r="185">
      <c r="A185" s="5" t="inlineStr">
        <is>
          <t>6370</t>
        </is>
      </c>
      <c r="B185" s="5" t="inlineStr">
        <is>
          <t>包裝費</t>
        </is>
      </c>
      <c r="C185" s="6">
        <f>SUMIFS(日記簿!$F$2:$F$100,日記簿!$D$2:$D$100,A185)</f>
        <v/>
      </c>
      <c r="D185" s="6">
        <f>SUMIFS(日記簿!$G$2:$G$100,日記簿!$D$2:$D$100,A185)</f>
        <v/>
      </c>
      <c r="E185" s="6">
        <f>C185-D185</f>
        <v/>
      </c>
      <c r="F185" s="7" t="inlineStr">
        <is>
          <t>費用</t>
        </is>
      </c>
    </row>
    <row r="186">
      <c r="A186" s="5" t="inlineStr">
        <is>
          <t>6380</t>
        </is>
      </c>
      <c r="B186" s="5" t="inlineStr">
        <is>
          <t>加工費用</t>
        </is>
      </c>
      <c r="C186" s="6">
        <f>SUMIFS(日記簿!$F$2:$F$100,日記簿!$D$2:$D$100,A186)</f>
        <v/>
      </c>
      <c r="D186" s="6">
        <f>SUMIFS(日記簿!$G$2:$G$100,日記簿!$D$2:$D$100,A186)</f>
        <v/>
      </c>
      <c r="E186" s="6">
        <f>C186-D186</f>
        <v/>
      </c>
      <c r="F186" s="7" t="inlineStr">
        <is>
          <t>費用</t>
        </is>
      </c>
    </row>
    <row r="187">
      <c r="A187" s="5" t="inlineStr">
        <is>
          <t>6390</t>
        </is>
      </c>
      <c r="B187" s="5" t="inlineStr">
        <is>
          <t>消耗費</t>
        </is>
      </c>
      <c r="C187" s="6">
        <f>SUMIFS(日記簿!$F$2:$F$100,日記簿!$D$2:$D$100,A187)</f>
        <v/>
      </c>
      <c r="D187" s="6">
        <f>SUMIFS(日記簿!$G$2:$G$100,日記簿!$D$2:$D$100,A187)</f>
        <v/>
      </c>
      <c r="E187" s="6">
        <f>C187-D187</f>
        <v/>
      </c>
      <c r="F187" s="7" t="inlineStr">
        <is>
          <t>費用</t>
        </is>
      </c>
    </row>
    <row r="188">
      <c r="A188" s="5" t="inlineStr">
        <is>
          <t>6400</t>
        </is>
      </c>
      <c r="B188" s="5" t="inlineStr">
        <is>
          <t>勞務費</t>
        </is>
      </c>
      <c r="C188" s="6">
        <f>SUMIFS(日記簿!$F$2:$F$100,日記簿!$D$2:$D$100,A188)</f>
        <v/>
      </c>
      <c r="D188" s="6">
        <f>SUMIFS(日記簿!$G$2:$G$100,日記簿!$D$2:$D$100,A188)</f>
        <v/>
      </c>
      <c r="E188" s="6">
        <f>C188-D188</f>
        <v/>
      </c>
      <c r="F188" s="7" t="inlineStr">
        <is>
          <t>費用</t>
        </is>
      </c>
    </row>
    <row r="189">
      <c r="A189" s="5" t="inlineStr">
        <is>
          <t>6410</t>
        </is>
      </c>
      <c r="B189" s="5" t="inlineStr">
        <is>
          <t>倉租</t>
        </is>
      </c>
      <c r="C189" s="6">
        <f>SUMIFS(日記簿!$F$2:$F$100,日記簿!$D$2:$D$100,A189)</f>
        <v/>
      </c>
      <c r="D189" s="6">
        <f>SUMIFS(日記簿!$G$2:$G$100,日記簿!$D$2:$D$100,A189)</f>
        <v/>
      </c>
      <c r="E189" s="6">
        <f>C189-D189</f>
        <v/>
      </c>
      <c r="F189" s="7" t="inlineStr">
        <is>
          <t>費用</t>
        </is>
      </c>
    </row>
    <row r="190">
      <c r="A190" s="5" t="inlineStr">
        <is>
          <t>6420</t>
        </is>
      </c>
      <c r="B190" s="5" t="inlineStr">
        <is>
          <t>報關費</t>
        </is>
      </c>
      <c r="C190" s="6">
        <f>SUMIFS(日記簿!$F$2:$F$100,日記簿!$D$2:$D$100,A190)</f>
        <v/>
      </c>
      <c r="D190" s="6">
        <f>SUMIFS(日記簿!$G$2:$G$100,日記簿!$D$2:$D$100,A190)</f>
        <v/>
      </c>
      <c r="E190" s="6">
        <f>C190-D190</f>
        <v/>
      </c>
      <c r="F190" s="7" t="inlineStr">
        <is>
          <t>費用</t>
        </is>
      </c>
    </row>
    <row r="191">
      <c r="A191" s="5" t="inlineStr">
        <is>
          <t>6430</t>
        </is>
      </c>
      <c r="B191" s="5" t="inlineStr">
        <is>
          <t>進口運費</t>
        </is>
      </c>
      <c r="C191" s="6">
        <f>SUMIFS(日記簿!$F$2:$F$100,日記簿!$D$2:$D$100,A191)</f>
        <v/>
      </c>
      <c r="D191" s="6">
        <f>SUMIFS(日記簿!$G$2:$G$100,日記簿!$D$2:$D$100,A191)</f>
        <v/>
      </c>
      <c r="E191" s="6">
        <f>C191-D191</f>
        <v/>
      </c>
      <c r="F191" s="7" t="inlineStr">
        <is>
          <t>費用</t>
        </is>
      </c>
    </row>
    <row r="192">
      <c r="A192" s="5" t="inlineStr">
        <is>
          <t>6440</t>
        </is>
      </c>
      <c r="B192" s="5" t="inlineStr">
        <is>
          <t>出口結匯費</t>
        </is>
      </c>
      <c r="C192" s="6">
        <f>SUMIFS(日記簿!$F$2:$F$100,日記簿!$D$2:$D$100,A192)</f>
        <v/>
      </c>
      <c r="D192" s="6">
        <f>SUMIFS(日記簿!$G$2:$G$100,日記簿!$D$2:$D$100,A192)</f>
        <v/>
      </c>
      <c r="E192" s="6">
        <f>C192-D192</f>
        <v/>
      </c>
      <c r="F192" s="7" t="inlineStr">
        <is>
          <t>費用</t>
        </is>
      </c>
    </row>
    <row r="193">
      <c r="A193" s="5" t="inlineStr">
        <is>
          <t>6450</t>
        </is>
      </c>
      <c r="B193" s="5" t="inlineStr">
        <is>
          <t>碼頭工資</t>
        </is>
      </c>
      <c r="C193" s="6">
        <f>SUMIFS(日記簿!$F$2:$F$100,日記簿!$D$2:$D$100,A193)</f>
        <v/>
      </c>
      <c r="D193" s="6">
        <f>SUMIFS(日記簿!$G$2:$G$100,日記簿!$D$2:$D$100,A193)</f>
        <v/>
      </c>
      <c r="E193" s="6">
        <f>C193-D193</f>
        <v/>
      </c>
      <c r="F193" s="7" t="inlineStr">
        <is>
          <t>費用</t>
        </is>
      </c>
    </row>
    <row r="194">
      <c r="A194" s="5" t="inlineStr">
        <is>
          <t>6460</t>
        </is>
      </c>
      <c r="B194" s="5" t="inlineStr">
        <is>
          <t>服務費</t>
        </is>
      </c>
      <c r="C194" s="6">
        <f>SUMIFS(日記簿!$F$2:$F$100,日記簿!$D$2:$D$100,A194)</f>
        <v/>
      </c>
      <c r="D194" s="6">
        <f>SUMIFS(日記簿!$G$2:$G$100,日記簿!$D$2:$D$100,A194)</f>
        <v/>
      </c>
      <c r="E194" s="6">
        <f>C194-D194</f>
        <v/>
      </c>
      <c r="F194" s="7" t="inlineStr">
        <is>
          <t>費用</t>
        </is>
      </c>
    </row>
    <row r="195">
      <c r="A195" s="5" t="inlineStr">
        <is>
          <t>6470</t>
        </is>
      </c>
      <c r="B195" s="5" t="inlineStr">
        <is>
          <t>清潔費</t>
        </is>
      </c>
      <c r="C195" s="6">
        <f>SUMIFS(日記簿!$F$2:$F$100,日記簿!$D$2:$D$100,A195)</f>
        <v/>
      </c>
      <c r="D195" s="6">
        <f>SUMIFS(日記簿!$G$2:$G$100,日記簿!$D$2:$D$100,A195)</f>
        <v/>
      </c>
      <c r="E195" s="6">
        <f>C195-D195</f>
        <v/>
      </c>
      <c r="F195" s="7" t="inlineStr">
        <is>
          <t>費用</t>
        </is>
      </c>
    </row>
    <row r="196">
      <c r="A196" s="5" t="inlineStr">
        <is>
          <t>6480</t>
        </is>
      </c>
      <c r="B196" s="5" t="inlineStr">
        <is>
          <t>樣品費</t>
        </is>
      </c>
      <c r="C196" s="6">
        <f>SUMIFS(日記簿!$F$2:$F$100,日記簿!$D$2:$D$100,A196)</f>
        <v/>
      </c>
      <c r="D196" s="6">
        <f>SUMIFS(日記簿!$G$2:$G$100,日記簿!$D$2:$D$100,A196)</f>
        <v/>
      </c>
      <c r="E196" s="6">
        <f>C196-D196</f>
        <v/>
      </c>
      <c r="F196" s="7" t="inlineStr">
        <is>
          <t>費用</t>
        </is>
      </c>
    </row>
    <row r="197">
      <c r="A197" s="5" t="inlineStr">
        <is>
          <t>6490</t>
        </is>
      </c>
      <c r="B197" s="5" t="inlineStr">
        <is>
          <t>稿費</t>
        </is>
      </c>
      <c r="C197" s="6">
        <f>SUMIFS(日記簿!$F$2:$F$100,日記簿!$D$2:$D$100,A197)</f>
        <v/>
      </c>
      <c r="D197" s="6">
        <f>SUMIFS(日記簿!$G$2:$G$100,日記簿!$D$2:$D$100,A197)</f>
        <v/>
      </c>
      <c r="E197" s="6">
        <f>C197-D197</f>
        <v/>
      </c>
      <c r="F197" s="7" t="inlineStr">
        <is>
          <t>費用</t>
        </is>
      </c>
    </row>
    <row r="198">
      <c r="A198" s="5" t="inlineStr">
        <is>
          <t>6500</t>
        </is>
      </c>
      <c r="B198" s="5" t="inlineStr">
        <is>
          <t>排印費</t>
        </is>
      </c>
      <c r="C198" s="6">
        <f>SUMIFS(日記簿!$F$2:$F$100,日記簿!$D$2:$D$100,A198)</f>
        <v/>
      </c>
      <c r="D198" s="6">
        <f>SUMIFS(日記簿!$G$2:$G$100,日記簿!$D$2:$D$100,A198)</f>
        <v/>
      </c>
      <c r="E198" s="6">
        <f>C198-D198</f>
        <v/>
      </c>
      <c r="F198" s="7" t="inlineStr">
        <is>
          <t>費用</t>
        </is>
      </c>
    </row>
    <row r="199">
      <c r="A199" s="5" t="inlineStr">
        <is>
          <t>6510</t>
        </is>
      </c>
      <c r="B199" s="5" t="inlineStr">
        <is>
          <t>製版費</t>
        </is>
      </c>
      <c r="C199" s="6">
        <f>SUMIFS(日記簿!$F$2:$F$100,日記簿!$D$2:$D$100,A199)</f>
        <v/>
      </c>
      <c r="D199" s="6">
        <f>SUMIFS(日記簿!$G$2:$G$100,日記簿!$D$2:$D$100,A199)</f>
        <v/>
      </c>
      <c r="E199" s="6">
        <f>C199-D199</f>
        <v/>
      </c>
      <c r="F199" s="7" t="inlineStr">
        <is>
          <t>費用</t>
        </is>
      </c>
    </row>
    <row r="200">
      <c r="A200" s="5" t="inlineStr">
        <is>
          <t>6520</t>
        </is>
      </c>
      <c r="B200" s="5" t="inlineStr">
        <is>
          <t>出版費</t>
        </is>
      </c>
      <c r="C200" s="6">
        <f>SUMIFS(日記簿!$F$2:$F$100,日記簿!$D$2:$D$100,A200)</f>
        <v/>
      </c>
      <c r="D200" s="6">
        <f>SUMIFS(日記簿!$G$2:$G$100,日記簿!$D$2:$D$100,A200)</f>
        <v/>
      </c>
      <c r="E200" s="6">
        <f>C200-D200</f>
        <v/>
      </c>
      <c r="F200" s="7" t="inlineStr">
        <is>
          <t>費用</t>
        </is>
      </c>
    </row>
    <row r="201">
      <c r="A201" s="5" t="inlineStr">
        <is>
          <t>6530</t>
        </is>
      </c>
      <c r="B201" s="5" t="inlineStr">
        <is>
          <t>工具費</t>
        </is>
      </c>
      <c r="C201" s="6">
        <f>SUMIFS(日記簿!$F$2:$F$100,日記簿!$D$2:$D$100,A201)</f>
        <v/>
      </c>
      <c r="D201" s="6">
        <f>SUMIFS(日記簿!$G$2:$G$100,日記簿!$D$2:$D$100,A201)</f>
        <v/>
      </c>
      <c r="E201" s="6">
        <f>C201-D201</f>
        <v/>
      </c>
      <c r="F201" s="7" t="inlineStr">
        <is>
          <t>費用</t>
        </is>
      </c>
    </row>
    <row r="202">
      <c r="A202" s="5" t="inlineStr">
        <is>
          <t>7010</t>
        </is>
      </c>
      <c r="B202" s="5" t="inlineStr">
        <is>
          <t>一般股息與紅利</t>
        </is>
      </c>
      <c r="C202" s="6">
        <f>SUMIFS(日記簿!$F$2:$F$100,日記簿!$D$2:$D$100,A202)</f>
        <v/>
      </c>
      <c r="D202" s="6">
        <f>SUMIFS(日記簿!$G$2:$G$100,日記簿!$D$2:$D$100,A202)</f>
        <v/>
      </c>
      <c r="E202" s="6">
        <f>D202-C202</f>
        <v/>
      </c>
      <c r="F202" s="7" t="inlineStr">
        <is>
          <t>非營業收入</t>
        </is>
      </c>
    </row>
    <row r="203">
      <c r="A203" s="5" t="inlineStr">
        <is>
          <t>7040</t>
        </is>
      </c>
      <c r="B203" s="5" t="inlineStr">
        <is>
          <t>利息收入</t>
        </is>
      </c>
      <c r="C203" s="6">
        <f>SUMIFS(日記簿!$F$2:$F$100,日記簿!$D$2:$D$100,A203)</f>
        <v/>
      </c>
      <c r="D203" s="6">
        <f>SUMIFS(日記簿!$G$2:$G$100,日記簿!$D$2:$D$100,A203)</f>
        <v/>
      </c>
      <c r="E203" s="6">
        <f>D203-C203</f>
        <v/>
      </c>
      <c r="F203" s="7" t="inlineStr">
        <is>
          <t>非營業收入</t>
        </is>
      </c>
    </row>
    <row r="204">
      <c r="A204" s="5" t="inlineStr">
        <is>
          <t>7050</t>
        </is>
      </c>
      <c r="B204" s="5" t="inlineStr">
        <is>
          <t>租賃收入</t>
        </is>
      </c>
      <c r="C204" s="6">
        <f>SUMIFS(日記簿!$F$2:$F$100,日記簿!$D$2:$D$100,A204)</f>
        <v/>
      </c>
      <c r="D204" s="6">
        <f>SUMIFS(日記簿!$G$2:$G$100,日記簿!$D$2:$D$100,A204)</f>
        <v/>
      </c>
      <c r="E204" s="6">
        <f>D204-C204</f>
        <v/>
      </c>
      <c r="F204" s="7" t="inlineStr">
        <is>
          <t>非營業收入</t>
        </is>
      </c>
    </row>
    <row r="205">
      <c r="A205" s="5" t="inlineStr">
        <is>
          <t>7060</t>
        </is>
      </c>
      <c r="B205" s="5" t="inlineStr">
        <is>
          <t>財產交易增益</t>
        </is>
      </c>
      <c r="C205" s="6">
        <f>SUMIFS(日記簿!$F$2:$F$100,日記簿!$D$2:$D$100,A205)</f>
        <v/>
      </c>
      <c r="D205" s="6">
        <f>SUMIFS(日記簿!$G$2:$G$100,日記簿!$D$2:$D$100,A205)</f>
        <v/>
      </c>
      <c r="E205" s="6">
        <f>D205-C205</f>
        <v/>
      </c>
      <c r="F205" s="7" t="inlineStr">
        <is>
          <t>非營業收入</t>
        </is>
      </c>
    </row>
    <row r="206">
      <c r="A206" s="5" t="inlineStr">
        <is>
          <t>7070</t>
        </is>
      </c>
      <c r="B206" s="5" t="inlineStr">
        <is>
          <t>佣金收入</t>
        </is>
      </c>
      <c r="C206" s="6">
        <f>SUMIFS(日記簿!$F$2:$F$100,日記簿!$D$2:$D$100,A206)</f>
        <v/>
      </c>
      <c r="D206" s="6">
        <f>SUMIFS(日記簿!$G$2:$G$100,日記簿!$D$2:$D$100,A206)</f>
        <v/>
      </c>
      <c r="E206" s="6">
        <f>D206-C206</f>
        <v/>
      </c>
      <c r="F206" s="7" t="inlineStr">
        <is>
          <t>非營業收入</t>
        </is>
      </c>
    </row>
    <row r="207">
      <c r="A207" s="5" t="inlineStr">
        <is>
          <t>7080</t>
        </is>
      </c>
      <c r="B207" s="5" t="inlineStr">
        <is>
          <t>商品盤盈</t>
        </is>
      </c>
      <c r="C207" s="6">
        <f>SUMIFS(日記簿!$F$2:$F$100,日記簿!$D$2:$D$100,A207)</f>
        <v/>
      </c>
      <c r="D207" s="6">
        <f>SUMIFS(日記簿!$G$2:$G$100,日記簿!$D$2:$D$100,A207)</f>
        <v/>
      </c>
      <c r="E207" s="6">
        <f>D207-C207</f>
        <v/>
      </c>
      <c r="F207" s="7" t="inlineStr">
        <is>
          <t>非營業收入</t>
        </is>
      </c>
    </row>
    <row r="208">
      <c r="A208" s="5" t="inlineStr">
        <is>
          <t>7090</t>
        </is>
      </c>
      <c r="B208" s="5" t="inlineStr">
        <is>
          <t>兌換盈益</t>
        </is>
      </c>
      <c r="C208" s="6">
        <f>SUMIFS(日記簿!$F$2:$F$100,日記簿!$D$2:$D$100,A208)</f>
        <v/>
      </c>
      <c r="D208" s="6">
        <f>SUMIFS(日記簿!$G$2:$G$100,日記簿!$D$2:$D$100,A208)</f>
        <v/>
      </c>
      <c r="E208" s="6">
        <f>D208-C208</f>
        <v/>
      </c>
      <c r="F208" s="7" t="inlineStr">
        <is>
          <t>非營業收入</t>
        </is>
      </c>
    </row>
    <row r="209">
      <c r="A209" s="5" t="inlineStr">
        <is>
          <t>7100</t>
        </is>
      </c>
      <c r="B209" s="5" t="inlineStr">
        <is>
          <t>其他收入</t>
        </is>
      </c>
      <c r="C209" s="6">
        <f>SUMIFS(日記簿!$F$2:$F$100,日記簿!$D$2:$D$100,A209)</f>
        <v/>
      </c>
      <c r="D209" s="6">
        <f>SUMIFS(日記簿!$G$2:$G$100,日記簿!$D$2:$D$100,A209)</f>
        <v/>
      </c>
      <c r="E209" s="6">
        <f>D209-C209</f>
        <v/>
      </c>
      <c r="F209" s="7" t="inlineStr">
        <is>
          <t>非營業收入</t>
        </is>
      </c>
    </row>
    <row r="210">
      <c r="A210" s="5" t="inlineStr">
        <is>
          <t>7110</t>
        </is>
      </c>
      <c r="B210" s="5" t="inlineStr">
        <is>
          <t>保險補償金</t>
        </is>
      </c>
      <c r="C210" s="6">
        <f>SUMIFS(日記簿!$F$2:$F$100,日記簿!$D$2:$D$100,A210)</f>
        <v/>
      </c>
      <c r="D210" s="6">
        <f>SUMIFS(日記簿!$G$2:$G$100,日記簿!$D$2:$D$100,A210)</f>
        <v/>
      </c>
      <c r="E210" s="6">
        <f>D210-C210</f>
        <v/>
      </c>
      <c r="F210" s="7" t="inlineStr">
        <is>
          <t>非營業收入</t>
        </is>
      </c>
    </row>
    <row r="211">
      <c r="A211" s="5" t="inlineStr">
        <is>
          <t>7130</t>
        </is>
      </c>
      <c r="B211" s="5" t="inlineStr">
        <is>
          <t>獎勵金收入</t>
        </is>
      </c>
      <c r="C211" s="6">
        <f>SUMIFS(日記簿!$F$2:$F$100,日記簿!$D$2:$D$100,A211)</f>
        <v/>
      </c>
      <c r="D211" s="6">
        <f>SUMIFS(日記簿!$G$2:$G$100,日記簿!$D$2:$D$100,A211)</f>
        <v/>
      </c>
      <c r="E211" s="6">
        <f>D211-C211</f>
        <v/>
      </c>
      <c r="F211" s="7" t="inlineStr">
        <is>
          <t>非營業收入</t>
        </is>
      </c>
    </row>
    <row r="212">
      <c r="A212" s="5" t="inlineStr">
        <is>
          <t>7140</t>
        </is>
      </c>
      <c r="B212" s="5" t="inlineStr">
        <is>
          <t>中獎收入</t>
        </is>
      </c>
      <c r="C212" s="6">
        <f>SUMIFS(日記簿!$F$2:$F$100,日記簿!$D$2:$D$100,A212)</f>
        <v/>
      </c>
      <c r="D212" s="6">
        <f>SUMIFS(日記簿!$G$2:$G$100,日記簿!$D$2:$D$100,A212)</f>
        <v/>
      </c>
      <c r="E212" s="6">
        <f>D212-C212</f>
        <v/>
      </c>
      <c r="F212" s="7" t="inlineStr">
        <is>
          <t>非營業收入</t>
        </is>
      </c>
    </row>
    <row r="213">
      <c r="A213" s="5" t="inlineStr">
        <is>
          <t>7150</t>
        </is>
      </c>
      <c r="B213" s="5" t="inlineStr">
        <is>
          <t>兌換盈益</t>
        </is>
      </c>
      <c r="C213" s="6">
        <f>SUMIFS(日記簿!$F$2:$F$100,日記簿!$D$2:$D$100,A213)</f>
        <v/>
      </c>
      <c r="D213" s="6">
        <f>SUMIFS(日記簿!$G$2:$G$100,日記簿!$D$2:$D$100,A213)</f>
        <v/>
      </c>
      <c r="E213" s="6">
        <f>D213-C213</f>
        <v/>
      </c>
      <c r="F213" s="7" t="inlineStr">
        <is>
          <t>非營業收入</t>
        </is>
      </c>
    </row>
    <row r="214">
      <c r="A214" s="5" t="inlineStr">
        <is>
          <t>7160</t>
        </is>
      </c>
      <c r="B214" s="5" t="inlineStr">
        <is>
          <t>退稅收入</t>
        </is>
      </c>
      <c r="C214" s="6">
        <f>SUMIFS(日記簿!$F$2:$F$100,日記簿!$D$2:$D$100,A214)</f>
        <v/>
      </c>
      <c r="D214" s="6">
        <f>SUMIFS(日記簿!$G$2:$G$100,日記簿!$D$2:$D$100,A214)</f>
        <v/>
      </c>
      <c r="E214" s="6">
        <f>D214-C214</f>
        <v/>
      </c>
      <c r="F214" s="7" t="inlineStr">
        <is>
          <t>非營業收入</t>
        </is>
      </c>
    </row>
    <row r="215">
      <c r="A215" s="5" t="inlineStr">
        <is>
          <t>8010</t>
        </is>
      </c>
      <c r="B215" s="5" t="inlineStr">
        <is>
          <t>利息支出</t>
        </is>
      </c>
      <c r="C215" s="6">
        <f>SUMIFS(日記簿!$F$2:$F$100,日記簿!$D$2:$D$100,A215)</f>
        <v/>
      </c>
      <c r="D215" s="6">
        <f>SUMIFS(日記簿!$G$2:$G$100,日記簿!$D$2:$D$100,A215)</f>
        <v/>
      </c>
      <c r="E215" s="6">
        <f>C215-D215</f>
        <v/>
      </c>
      <c r="F215" s="7" t="inlineStr">
        <is>
          <t>非營業費用</t>
        </is>
      </c>
    </row>
    <row r="216">
      <c r="A216" s="5" t="inlineStr">
        <is>
          <t>8020</t>
        </is>
      </c>
      <c r="B216" s="5" t="inlineStr">
        <is>
          <t>投資損失</t>
        </is>
      </c>
      <c r="C216" s="6">
        <f>SUMIFS(日記簿!$F$2:$F$100,日記簿!$D$2:$D$100,A216)</f>
        <v/>
      </c>
      <c r="D216" s="6">
        <f>SUMIFS(日記簿!$G$2:$G$100,日記簿!$D$2:$D$100,A216)</f>
        <v/>
      </c>
      <c r="E216" s="6">
        <f>C216-D216</f>
        <v/>
      </c>
      <c r="F216" s="7" t="inlineStr">
        <is>
          <t>非營業費用</t>
        </is>
      </c>
    </row>
    <row r="217">
      <c r="A217" s="5" t="inlineStr">
        <is>
          <t>8030</t>
        </is>
      </c>
      <c r="B217" s="5" t="inlineStr">
        <is>
          <t>財產交易損失</t>
        </is>
      </c>
      <c r="C217" s="6">
        <f>SUMIFS(日記簿!$F$2:$F$100,日記簿!$D$2:$D$100,A217)</f>
        <v/>
      </c>
      <c r="D217" s="6">
        <f>SUMIFS(日記簿!$G$2:$G$100,日記簿!$D$2:$D$100,A217)</f>
        <v/>
      </c>
      <c r="E217" s="6">
        <f>C217-D217</f>
        <v/>
      </c>
      <c r="F217" s="7" t="inlineStr">
        <is>
          <t>非營業費用</t>
        </is>
      </c>
    </row>
    <row r="218">
      <c r="A218" s="5" t="inlineStr">
        <is>
          <t>8040</t>
        </is>
      </c>
      <c r="B218" s="5" t="inlineStr">
        <is>
          <t>災害損失</t>
        </is>
      </c>
      <c r="C218" s="6">
        <f>SUMIFS(日記簿!$F$2:$F$100,日記簿!$D$2:$D$100,A218)</f>
        <v/>
      </c>
      <c r="D218" s="6">
        <f>SUMIFS(日記簿!$G$2:$G$100,日記簿!$D$2:$D$100,A218)</f>
        <v/>
      </c>
      <c r="E218" s="6">
        <f>C218-D218</f>
        <v/>
      </c>
      <c r="F218" s="7" t="inlineStr">
        <is>
          <t>非營業費用</t>
        </is>
      </c>
    </row>
    <row r="219">
      <c r="A219" s="5" t="inlineStr">
        <is>
          <t>8050</t>
        </is>
      </c>
      <c r="B219" s="5" t="inlineStr">
        <is>
          <t>商品盤損</t>
        </is>
      </c>
      <c r="C219" s="6">
        <f>SUMIFS(日記簿!$F$2:$F$100,日記簿!$D$2:$D$100,A219)</f>
        <v/>
      </c>
      <c r="D219" s="6">
        <f>SUMIFS(日記簿!$G$2:$G$100,日記簿!$D$2:$D$100,A219)</f>
        <v/>
      </c>
      <c r="E219" s="6">
        <f>C219-D219</f>
        <v/>
      </c>
      <c r="F219" s="7" t="inlineStr">
        <is>
          <t>非營業費用</t>
        </is>
      </c>
    </row>
    <row r="220">
      <c r="A220" s="5" t="inlineStr">
        <is>
          <t>8060</t>
        </is>
      </c>
      <c r="B220" s="5" t="inlineStr">
        <is>
          <t>兌換損失</t>
        </is>
      </c>
      <c r="C220" s="6">
        <f>SUMIFS(日記簿!$F$2:$F$100,日記簿!$D$2:$D$100,A220)</f>
        <v/>
      </c>
      <c r="D220" s="6">
        <f>SUMIFS(日記簿!$G$2:$G$100,日記簿!$D$2:$D$100,A220)</f>
        <v/>
      </c>
      <c r="E220" s="6">
        <f>C220-D220</f>
        <v/>
      </c>
      <c r="F220" s="7" t="inlineStr">
        <is>
          <t>非營業費用</t>
        </is>
      </c>
    </row>
    <row r="221">
      <c r="A221" s="5" t="inlineStr">
        <is>
          <t>8070</t>
        </is>
      </c>
      <c r="B221" s="5" t="inlineStr">
        <is>
          <t>其他損失</t>
        </is>
      </c>
      <c r="C221" s="6">
        <f>SUMIFS(日記簿!$F$2:$F$100,日記簿!$D$2:$D$100,A221)</f>
        <v/>
      </c>
      <c r="D221" s="6">
        <f>SUMIFS(日記簿!$G$2:$G$100,日記簿!$D$2:$D$100,A221)</f>
        <v/>
      </c>
      <c r="E221" s="6">
        <f>C221-D221</f>
        <v/>
      </c>
      <c r="F221" s="7" t="inlineStr">
        <is>
          <t>非營業費用</t>
        </is>
      </c>
    </row>
    <row r="222">
      <c r="A222" s="5" t="inlineStr">
        <is>
          <t>8080</t>
        </is>
      </c>
      <c r="B222" s="5" t="inlineStr">
        <is>
          <t>竊盜損失</t>
        </is>
      </c>
      <c r="C222" s="6">
        <f>SUMIFS(日記簿!$F$2:$F$100,日記簿!$D$2:$D$100,A222)</f>
        <v/>
      </c>
      <c r="D222" s="6">
        <f>SUMIFS(日記簿!$G$2:$G$100,日記簿!$D$2:$D$100,A222)</f>
        <v/>
      </c>
      <c r="E222" s="6">
        <f>C222-D222</f>
        <v/>
      </c>
      <c r="F222" s="7" t="inlineStr">
        <is>
          <t>非營業費用</t>
        </is>
      </c>
    </row>
    <row r="223">
      <c r="A223" s="5" t="inlineStr">
        <is>
          <t>8090</t>
        </is>
      </c>
      <c r="B223" s="5" t="inlineStr">
        <is>
          <t>外銷損失</t>
        </is>
      </c>
      <c r="C223" s="6">
        <f>SUMIFS(日記簿!$F$2:$F$100,日記簿!$D$2:$D$100,A223)</f>
        <v/>
      </c>
      <c r="D223" s="6">
        <f>SUMIFS(日記簿!$G$2:$G$100,日記簿!$D$2:$D$100,A223)</f>
        <v/>
      </c>
      <c r="E223" s="6">
        <f>C223-D223</f>
        <v/>
      </c>
      <c r="F223" s="7" t="inlineStr">
        <is>
          <t>非營業費用</t>
        </is>
      </c>
    </row>
    <row r="224">
      <c r="A224" s="5" t="inlineStr">
        <is>
          <t>9000</t>
        </is>
      </c>
      <c r="B224" s="5" t="inlineStr">
        <is>
          <t>所得稅費用(利益)</t>
        </is>
      </c>
      <c r="C224" s="6">
        <f>SUMIFS(日記簿!$F$2:$F$100,日記簿!$D$2:$D$100,A224)</f>
        <v/>
      </c>
      <c r="D224" s="6">
        <f>SUMIFS(日記簿!$G$2:$G$100,日記簿!$D$2:$D$100,A224)</f>
        <v/>
      </c>
      <c r="E224" s="6">
        <f>C224-D224</f>
        <v/>
      </c>
      <c r="F224" s="7" t="inlineStr">
        <is>
          <t>所得稅</t>
        </is>
      </c>
    </row>
    <row r="225">
      <c r="A225" s="5" t="inlineStr">
        <is>
          <t>9500</t>
        </is>
      </c>
      <c r="B225" s="5" t="inlineStr">
        <is>
          <t>本期其他綜合損益(稅後淨額)</t>
        </is>
      </c>
      <c r="C225" s="6">
        <f>SUMIFS(日記簿!$F$2:$F$100,日記簿!$D$2:$D$100,A225)</f>
        <v/>
      </c>
      <c r="D225" s="6">
        <f>SUMIFS(日記簿!$G$2:$G$100,日記簿!$D$2:$D$100,A225)</f>
        <v/>
      </c>
      <c r="E225" s="6">
        <f>C225-D225</f>
        <v/>
      </c>
      <c r="F225" s="7" t="inlineStr">
        <is>
          <t>所得稅</t>
        </is>
      </c>
    </row>
    <row r="226">
      <c r="B226" s="8" t="inlineStr">
        <is>
          <t>合計</t>
        </is>
      </c>
      <c r="C226" s="9">
        <f>SUM(C2:C225)</f>
        <v/>
      </c>
      <c r="D226" s="9">
        <f>SUM(D2:D225)</f>
        <v/>
      </c>
    </row>
    <row r="228">
      <c r="A228" s="10" t="inlineStr">
        <is>
          <t>借貸平衡檢查:</t>
        </is>
      </c>
      <c r="C228" s="11">
        <f>IF(C226=D226,"✓ 平衡","✗ 不平衡")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4" max="4"/>
    <col width="15" customWidth="1" min="5" max="5"/>
  </cols>
  <sheetData>
    <row r="1">
      <c r="A1" s="12" t="inlineStr">
        <is>
          <t>資產負債表</t>
        </is>
      </c>
    </row>
    <row r="2">
      <c r="A2" s="13" t="inlineStr">
        <is>
          <t>截至 2026年04月28日</t>
        </is>
      </c>
    </row>
    <row r="4">
      <c r="A4" s="14" t="inlineStr">
        <is>
          <t>資產</t>
        </is>
      </c>
      <c r="D4" s="14" t="inlineStr">
        <is>
          <t>負債及權益</t>
        </is>
      </c>
    </row>
    <row r="5">
      <c r="A5" t="inlineStr">
        <is>
          <t>流動資產</t>
        </is>
      </c>
      <c r="B5" s="15">
        <f>SUMIF(試算表!$F$2:$F$225,"資產",試算表!$E$2:$E$225)</f>
        <v/>
      </c>
      <c r="D5" t="inlineStr">
        <is>
          <t>流動負債</t>
        </is>
      </c>
      <c r="E5" s="15">
        <f>SUMIF(試算表!$F$2:$F$225,"負債",試算表!$E$2:$E$225)</f>
        <v/>
      </c>
    </row>
    <row r="6">
      <c r="A6" t="inlineStr">
        <is>
          <t>非流動資產</t>
        </is>
      </c>
      <c r="B6" s="15" t="n">
        <v>0</v>
      </c>
      <c r="D6" t="inlineStr">
        <is>
          <t>非流動負債</t>
        </is>
      </c>
      <c r="E6" s="15" t="n">
        <v>0</v>
      </c>
    </row>
    <row r="7">
      <c r="A7" s="8" t="inlineStr">
        <is>
          <t>資產總計</t>
        </is>
      </c>
      <c r="B7" s="16">
        <f>B5+B6</f>
        <v/>
      </c>
      <c r="D7" t="inlineStr">
        <is>
          <t>股東權益</t>
        </is>
      </c>
      <c r="E7" s="15">
        <f>SUMIF(試算表!$F$2:$F$225,"權益",試算表!$E$2:$E$225)</f>
        <v/>
      </c>
    </row>
    <row r="8">
      <c r="D8" s="8" t="inlineStr">
        <is>
          <t>負債及權益總計</t>
        </is>
      </c>
      <c r="E8" s="16">
        <f>E5+E6+E7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2" t="inlineStr">
        <is>
          <t>損益表</t>
        </is>
      </c>
    </row>
    <row r="2">
      <c r="A2" s="13" t="inlineStr">
        <is>
          <t>自 2026年04月 起</t>
        </is>
      </c>
    </row>
    <row r="4">
      <c r="A4" s="17" t="inlineStr">
        <is>
          <t>營業收入</t>
        </is>
      </c>
      <c r="B4" s="18">
        <f>SUMIF(試算表!$F$2:$F$225,"收入",試算表!$E$2:$E$225)</f>
        <v/>
      </c>
    </row>
    <row r="5">
      <c r="A5" s="19" t="inlineStr">
        <is>
          <t xml:space="preserve">  4100 銷貨收入</t>
        </is>
      </c>
      <c r="B5" s="20">
        <f>VLOOKUP(4100,試算表!$A:$E,5,FALSE)</f>
        <v/>
      </c>
    </row>
    <row r="6">
      <c r="A6" s="19" t="inlineStr">
        <is>
          <t xml:space="preserve">  4110 減:銷貨退回</t>
        </is>
      </c>
      <c r="B6" s="20">
        <f>VLOOKUP(4110,試算表!$A:$E,5,FALSE)</f>
        <v/>
      </c>
    </row>
    <row r="7">
      <c r="A7" s="19" t="inlineStr">
        <is>
          <t xml:space="preserve">  4120 減:銷貨折讓</t>
        </is>
      </c>
      <c r="B7" s="20">
        <f>VLOOKUP(4120,試算表!$A:$E,5,FALSE)</f>
        <v/>
      </c>
    </row>
    <row r="8">
      <c r="A8" s="19" t="inlineStr">
        <is>
          <t xml:space="preserve">  4200 勞務收入</t>
        </is>
      </c>
      <c r="B8" s="20">
        <f>VLOOKUP(4200,試算表!$A:$E,5,FALSE)</f>
        <v/>
      </c>
    </row>
    <row r="9">
      <c r="A9" s="19" t="inlineStr">
        <is>
          <t xml:space="preserve">  4300 加工收入</t>
        </is>
      </c>
      <c r="B9" s="20">
        <f>VLOOKUP(4300,試算表!$A:$E,5,FALSE)</f>
        <v/>
      </c>
    </row>
    <row r="10">
      <c r="A10" s="19" t="inlineStr">
        <is>
          <t xml:space="preserve">  4400 工程收入</t>
        </is>
      </c>
      <c r="B10" s="20">
        <f>VLOOKUP(4400,試算表!$A:$E,5,FALSE)</f>
        <v/>
      </c>
    </row>
    <row r="12">
      <c r="A12" s="17" t="inlineStr">
        <is>
          <t>銷貨成本</t>
        </is>
      </c>
      <c r="B12" s="18">
        <f>SUMIF(試算表!$F$2:$F$225,"銷貨成本",試算表!$E$2:$E$225)</f>
        <v/>
      </c>
    </row>
    <row r="13">
      <c r="A13" s="19" t="inlineStr">
        <is>
          <t xml:space="preserve">  5100 銷貨成本</t>
        </is>
      </c>
      <c r="B13" s="20">
        <f>VLOOKUP(5100,試算表!$A:$E,5,FALSE)</f>
        <v/>
      </c>
    </row>
    <row r="14">
      <c r="A14" s="19" t="inlineStr">
        <is>
          <t xml:space="preserve">  5200 勞務成本</t>
        </is>
      </c>
      <c r="B14" s="20">
        <f>VLOOKUP(5200,試算表!$A:$E,5,FALSE)</f>
        <v/>
      </c>
    </row>
    <row r="15">
      <c r="A15" s="19" t="inlineStr">
        <is>
          <t xml:space="preserve">  5300 加工成本</t>
        </is>
      </c>
      <c r="B15" s="20">
        <f>VLOOKUP(5300,試算表!$A:$E,5,FALSE)</f>
        <v/>
      </c>
    </row>
    <row r="16">
      <c r="A16" s="19" t="inlineStr">
        <is>
          <t xml:space="preserve">  5400 工程成本</t>
        </is>
      </c>
      <c r="B16" s="20">
        <f>VLOOKUP(5400,試算表!$A:$E,5,FALSE)</f>
        <v/>
      </c>
    </row>
    <row r="18">
      <c r="A18" s="10" t="inlineStr">
        <is>
          <t>營業毛利</t>
        </is>
      </c>
      <c r="B18" s="21">
        <f>B4-B12</f>
        <v/>
      </c>
    </row>
    <row r="20">
      <c r="A20" s="17" t="inlineStr">
        <is>
          <t>營業費用</t>
        </is>
      </c>
      <c r="B20" s="18">
        <f>SUMIF(試算表!$F$2:$F$225,"費用",試算表!$E$2:$E$225)</f>
        <v/>
      </c>
    </row>
    <row r="21">
      <c r="A21" s="19" t="inlineStr">
        <is>
          <t xml:space="preserve">  6010 薪資支出</t>
        </is>
      </c>
      <c r="B21" s="20">
        <f>VLOOKUP(6010,試算表!$A:$E,5,FALSE)</f>
        <v/>
      </c>
    </row>
    <row r="22">
      <c r="A22" s="19" t="inlineStr">
        <is>
          <t xml:space="preserve">  6020 租金支出</t>
        </is>
      </c>
      <c r="B22" s="20">
        <f>VLOOKUP(6020,試算表!$A:$E,5,FALSE)</f>
        <v/>
      </c>
    </row>
    <row r="23">
      <c r="A23" s="19" t="inlineStr">
        <is>
          <t xml:space="preserve">  6030 文具用品</t>
        </is>
      </c>
      <c r="B23" s="20">
        <f>VLOOKUP(6030,試算表!$A:$E,5,FALSE)</f>
        <v/>
      </c>
    </row>
    <row r="24">
      <c r="A24" s="19" t="inlineStr">
        <is>
          <t xml:space="preserve">  6040 旅費</t>
        </is>
      </c>
      <c r="B24" s="20">
        <f>VLOOKUP(6040,試算表!$A:$E,5,FALSE)</f>
        <v/>
      </c>
    </row>
    <row r="25">
      <c r="A25" s="19" t="inlineStr">
        <is>
          <t xml:space="preserve">  6050 運費</t>
        </is>
      </c>
      <c r="B25" s="20">
        <f>VLOOKUP(6050,試算表!$A:$E,5,FALSE)</f>
        <v/>
      </c>
    </row>
    <row r="26">
      <c r="A26" s="19" t="inlineStr">
        <is>
          <t xml:space="preserve">  6060 郵電費</t>
        </is>
      </c>
      <c r="B26" s="20">
        <f>VLOOKUP(6060,試算表!$A:$E,5,FALSE)</f>
        <v/>
      </c>
    </row>
    <row r="27">
      <c r="A27" s="19" t="inlineStr">
        <is>
          <t xml:space="preserve">  6070 修繕費</t>
        </is>
      </c>
      <c r="B27" s="20">
        <f>VLOOKUP(6070,試算表!$A:$E,5,FALSE)</f>
        <v/>
      </c>
    </row>
    <row r="28">
      <c r="A28" s="19" t="inlineStr">
        <is>
          <t xml:space="preserve">  6080 廣告費</t>
        </is>
      </c>
      <c r="B28" s="20">
        <f>VLOOKUP(6080,試算表!$A:$E,5,FALSE)</f>
        <v/>
      </c>
    </row>
    <row r="29">
      <c r="A29" s="19" t="inlineStr">
        <is>
          <t xml:space="preserve">  6090 水電瓦斯費</t>
        </is>
      </c>
      <c r="B29" s="20">
        <f>VLOOKUP(6090,試算表!$A:$E,5,FALSE)</f>
        <v/>
      </c>
    </row>
    <row r="30">
      <c r="A30" s="19" t="inlineStr">
        <is>
          <t xml:space="preserve">  6100 保險費</t>
        </is>
      </c>
      <c r="B30" s="20">
        <f>VLOOKUP(6100,試算表!$A:$E,5,FALSE)</f>
        <v/>
      </c>
    </row>
    <row r="31">
      <c r="A31" s="19" t="inlineStr">
        <is>
          <t xml:space="preserve">  6110 交際費</t>
        </is>
      </c>
      <c r="B31" s="20">
        <f>VLOOKUP(6110,試算表!$A:$E,5,FALSE)</f>
        <v/>
      </c>
    </row>
    <row r="32">
      <c r="A32" s="19" t="inlineStr">
        <is>
          <t xml:space="preserve">  6120 捐贈</t>
        </is>
      </c>
      <c r="B32" s="20">
        <f>VLOOKUP(6120,試算表!$A:$E,5,FALSE)</f>
        <v/>
      </c>
    </row>
    <row r="33">
      <c r="A33" s="19" t="inlineStr">
        <is>
          <t xml:space="preserve">  6130 稅捐</t>
        </is>
      </c>
      <c r="B33" s="20">
        <f>VLOOKUP(6130,試算表!$A:$E,5,FALSE)</f>
        <v/>
      </c>
    </row>
    <row r="34">
      <c r="A34" s="19" t="inlineStr">
        <is>
          <t xml:space="preserve">  6140 呆帳損失</t>
        </is>
      </c>
      <c r="B34" s="20">
        <f>VLOOKUP(6140,試算表!$A:$E,5,FALSE)</f>
        <v/>
      </c>
    </row>
    <row r="35">
      <c r="A35" s="19" t="inlineStr">
        <is>
          <t xml:space="preserve">  6150 折舊</t>
        </is>
      </c>
      <c r="B35" s="20">
        <f>VLOOKUP(6150,試算表!$A:$E,5,FALSE)</f>
        <v/>
      </c>
    </row>
    <row r="36">
      <c r="A36" s="19" t="inlineStr">
        <is>
          <t xml:space="preserve">  6160 各項耗竭及攤提</t>
        </is>
      </c>
      <c r="B36" s="20">
        <f>VLOOKUP(6160,試算表!$A:$E,5,FALSE)</f>
        <v/>
      </c>
    </row>
    <row r="37">
      <c r="A37" s="19" t="inlineStr">
        <is>
          <t xml:space="preserve">  6170 外銷損失</t>
        </is>
      </c>
      <c r="B37" s="20">
        <f>VLOOKUP(6170,試算表!$A:$E,5,FALSE)</f>
        <v/>
      </c>
    </row>
    <row r="38">
      <c r="A38" s="19" t="inlineStr">
        <is>
          <t xml:space="preserve">  6180 伙食費</t>
        </is>
      </c>
      <c r="B38" s="20">
        <f>VLOOKUP(6180,試算表!$A:$E,5,FALSE)</f>
        <v/>
      </c>
    </row>
    <row r="39">
      <c r="A39" s="19" t="inlineStr">
        <is>
          <t xml:space="preserve">  6190 職工福利</t>
        </is>
      </c>
      <c r="B39" s="20">
        <f>VLOOKUP(6190,試算表!$A:$E,5,FALSE)</f>
        <v/>
      </c>
    </row>
    <row r="40">
      <c r="A40" s="19" t="inlineStr">
        <is>
          <t xml:space="preserve">  6200 研究費</t>
        </is>
      </c>
      <c r="B40" s="20">
        <f>VLOOKUP(6200,試算表!$A:$E,5,FALSE)</f>
        <v/>
      </c>
    </row>
    <row r="41">
      <c r="A41" s="19" t="inlineStr">
        <is>
          <t xml:space="preserve">  6210 佣金支出</t>
        </is>
      </c>
      <c r="B41" s="20">
        <f>VLOOKUP(6210,試算表!$A:$E,5,FALSE)</f>
        <v/>
      </c>
    </row>
    <row r="42">
      <c r="A42" s="19" t="inlineStr">
        <is>
          <t xml:space="preserve">  6220 訓練費</t>
        </is>
      </c>
      <c r="B42" s="20">
        <f>VLOOKUP(6220,試算表!$A:$E,5,FALSE)</f>
        <v/>
      </c>
    </row>
    <row r="43">
      <c r="A43" s="19" t="inlineStr">
        <is>
          <t xml:space="preserve">  6230 其他費用</t>
        </is>
      </c>
      <c r="B43" s="20">
        <f>VLOOKUP(6230,試算表!$A:$E,5,FALSE)</f>
        <v/>
      </c>
    </row>
    <row r="44">
      <c r="A44" s="19" t="inlineStr">
        <is>
          <t xml:space="preserve">  6240 加班費</t>
        </is>
      </c>
      <c r="B44" s="20">
        <f>VLOOKUP(6240,試算表!$A:$E,5,FALSE)</f>
        <v/>
      </c>
    </row>
    <row r="45">
      <c r="A45" s="19" t="inlineStr">
        <is>
          <t xml:space="preserve">  6250 退休金</t>
        </is>
      </c>
      <c r="B45" s="20">
        <f>VLOOKUP(6250,試算表!$A:$E,5,FALSE)</f>
        <v/>
      </c>
    </row>
    <row r="46">
      <c r="A46" s="19" t="inlineStr">
        <is>
          <t xml:space="preserve">  6260 書報雜誌</t>
        </is>
      </c>
      <c r="B46" s="20">
        <f>VLOOKUP(6260,試算表!$A:$E,5,FALSE)</f>
        <v/>
      </c>
    </row>
    <row r="47">
      <c r="A47" s="19" t="inlineStr">
        <is>
          <t xml:space="preserve">  6270 雜項購置</t>
        </is>
      </c>
      <c r="B47" s="20">
        <f>VLOOKUP(6270,試算表!$A:$E,5,FALSE)</f>
        <v/>
      </c>
    </row>
    <row r="48">
      <c r="A48" s="19" t="inlineStr">
        <is>
          <t xml:space="preserve">  6280 出口費用</t>
        </is>
      </c>
      <c r="B48" s="20">
        <f>VLOOKUP(6280,試算表!$A:$E,5,FALSE)</f>
        <v/>
      </c>
    </row>
    <row r="49">
      <c r="A49" s="19" t="inlineStr">
        <is>
          <t xml:space="preserve">  6290 手續費</t>
        </is>
      </c>
      <c r="B49" s="20">
        <f>VLOOKUP(6290,試算表!$A:$E,5,FALSE)</f>
        <v/>
      </c>
    </row>
    <row r="50">
      <c r="A50" s="19" t="inlineStr">
        <is>
          <t xml:space="preserve">  6300 匯費</t>
        </is>
      </c>
      <c r="B50" s="20">
        <f>VLOOKUP(6300,試算表!$A:$E,5,FALSE)</f>
        <v/>
      </c>
    </row>
    <row r="51">
      <c r="A51" s="19" t="inlineStr">
        <is>
          <t xml:space="preserve">  6310 檢驗費</t>
        </is>
      </c>
      <c r="B51" s="20">
        <f>VLOOKUP(6310,試算表!$A:$E,5,FALSE)</f>
        <v/>
      </c>
    </row>
    <row r="52">
      <c r="A52" s="19" t="inlineStr">
        <is>
          <t xml:space="preserve">  6320 交通費</t>
        </is>
      </c>
      <c r="B52" s="20">
        <f>VLOOKUP(6320,試算表!$A:$E,5,FALSE)</f>
        <v/>
      </c>
    </row>
    <row r="53">
      <c r="A53" s="19" t="inlineStr">
        <is>
          <t xml:space="preserve">  6330 公會費</t>
        </is>
      </c>
      <c r="B53" s="20">
        <f>VLOOKUP(6330,試算表!$A:$E,5,FALSE)</f>
        <v/>
      </c>
    </row>
    <row r="54">
      <c r="A54" s="19" t="inlineStr">
        <is>
          <t xml:space="preserve">  6340 燃料費</t>
        </is>
      </c>
      <c r="B54" s="20">
        <f>VLOOKUP(6340,試算表!$A:$E,5,FALSE)</f>
        <v/>
      </c>
    </row>
    <row r="55">
      <c r="A55" s="19" t="inlineStr">
        <is>
          <t xml:space="preserve">  6350 醫藥費</t>
        </is>
      </c>
      <c r="B55" s="20">
        <f>VLOOKUP(6350,試算表!$A:$E,5,FALSE)</f>
        <v/>
      </c>
    </row>
    <row r="56">
      <c r="A56" s="19" t="inlineStr">
        <is>
          <t xml:space="preserve">  6360 規費</t>
        </is>
      </c>
      <c r="B56" s="20">
        <f>VLOOKUP(6360,試算表!$A:$E,5,FALSE)</f>
        <v/>
      </c>
    </row>
    <row r="57">
      <c r="A57" s="19" t="inlineStr">
        <is>
          <t xml:space="preserve">  6370 包裝費</t>
        </is>
      </c>
      <c r="B57" s="20">
        <f>VLOOKUP(6370,試算表!$A:$E,5,FALSE)</f>
        <v/>
      </c>
    </row>
    <row r="58">
      <c r="A58" s="19" t="inlineStr">
        <is>
          <t xml:space="preserve">  6380 加工費用</t>
        </is>
      </c>
      <c r="B58" s="20">
        <f>VLOOKUP(6380,試算表!$A:$E,5,FALSE)</f>
        <v/>
      </c>
    </row>
    <row r="59">
      <c r="A59" s="19" t="inlineStr">
        <is>
          <t xml:space="preserve">  6390 消耗費</t>
        </is>
      </c>
      <c r="B59" s="20">
        <f>VLOOKUP(6390,試算表!$A:$E,5,FALSE)</f>
        <v/>
      </c>
    </row>
    <row r="60">
      <c r="A60" s="19" t="inlineStr">
        <is>
          <t xml:space="preserve">  6400 勞務費</t>
        </is>
      </c>
      <c r="B60" s="20">
        <f>VLOOKUP(6400,試算表!$A:$E,5,FALSE)</f>
        <v/>
      </c>
    </row>
    <row r="61">
      <c r="A61" s="19" t="inlineStr">
        <is>
          <t xml:space="preserve">  6410 倉租</t>
        </is>
      </c>
      <c r="B61" s="20">
        <f>VLOOKUP(6410,試算表!$A:$E,5,FALSE)</f>
        <v/>
      </c>
    </row>
    <row r="62">
      <c r="A62" s="19" t="inlineStr">
        <is>
          <t xml:space="preserve">  6420 報關費</t>
        </is>
      </c>
      <c r="B62" s="20">
        <f>VLOOKUP(6420,試算表!$A:$E,5,FALSE)</f>
        <v/>
      </c>
    </row>
    <row r="63">
      <c r="A63" s="19" t="inlineStr">
        <is>
          <t xml:space="preserve">  6430 進口運費</t>
        </is>
      </c>
      <c r="B63" s="20">
        <f>VLOOKUP(6430,試算表!$A:$E,5,FALSE)</f>
        <v/>
      </c>
    </row>
    <row r="64">
      <c r="A64" s="19" t="inlineStr">
        <is>
          <t xml:space="preserve">  6440 出口結匯費</t>
        </is>
      </c>
      <c r="B64" s="20">
        <f>VLOOKUP(6440,試算表!$A:$E,5,FALSE)</f>
        <v/>
      </c>
    </row>
    <row r="65">
      <c r="A65" s="19" t="inlineStr">
        <is>
          <t xml:space="preserve">  6450 碼頭工資</t>
        </is>
      </c>
      <c r="B65" s="20">
        <f>VLOOKUP(6450,試算表!$A:$E,5,FALSE)</f>
        <v/>
      </c>
    </row>
    <row r="66">
      <c r="A66" s="19" t="inlineStr">
        <is>
          <t xml:space="preserve">  6460 服務費</t>
        </is>
      </c>
      <c r="B66" s="20">
        <f>VLOOKUP(6460,試算表!$A:$E,5,FALSE)</f>
        <v/>
      </c>
    </row>
    <row r="67">
      <c r="A67" s="19" t="inlineStr">
        <is>
          <t xml:space="preserve">  6470 清潔費</t>
        </is>
      </c>
      <c r="B67" s="20">
        <f>VLOOKUP(6470,試算表!$A:$E,5,FALSE)</f>
        <v/>
      </c>
    </row>
    <row r="68">
      <c r="A68" s="19" t="inlineStr">
        <is>
          <t xml:space="preserve">  6480 樣品費</t>
        </is>
      </c>
      <c r="B68" s="20">
        <f>VLOOKUP(6480,試算表!$A:$E,5,FALSE)</f>
        <v/>
      </c>
    </row>
    <row r="69">
      <c r="A69" s="19" t="inlineStr">
        <is>
          <t xml:space="preserve">  6490 稿費</t>
        </is>
      </c>
      <c r="B69" s="20">
        <f>VLOOKUP(6490,試算表!$A:$E,5,FALSE)</f>
        <v/>
      </c>
    </row>
    <row r="70">
      <c r="A70" s="19" t="inlineStr">
        <is>
          <t xml:space="preserve">  6500 排印費</t>
        </is>
      </c>
      <c r="B70" s="20">
        <f>VLOOKUP(6500,試算表!$A:$E,5,FALSE)</f>
        <v/>
      </c>
    </row>
    <row r="71">
      <c r="A71" s="19" t="inlineStr">
        <is>
          <t xml:space="preserve">  6510 製版費</t>
        </is>
      </c>
      <c r="B71" s="20">
        <f>VLOOKUP(6510,試算表!$A:$E,5,FALSE)</f>
        <v/>
      </c>
    </row>
    <row r="72">
      <c r="A72" s="19" t="inlineStr">
        <is>
          <t xml:space="preserve">  6520 出版費</t>
        </is>
      </c>
      <c r="B72" s="20">
        <f>VLOOKUP(6520,試算表!$A:$E,5,FALSE)</f>
        <v/>
      </c>
    </row>
    <row r="73">
      <c r="A73" s="19" t="inlineStr">
        <is>
          <t xml:space="preserve">  6530 工具費</t>
        </is>
      </c>
      <c r="B73" s="20">
        <f>VLOOKUP(6530,試算表!$A:$E,5,FALSE)</f>
        <v/>
      </c>
    </row>
    <row r="75">
      <c r="A75" s="10" t="inlineStr">
        <is>
          <t>營業淨利</t>
        </is>
      </c>
      <c r="B75" s="21">
        <f>B18-B20</f>
        <v/>
      </c>
    </row>
    <row r="77">
      <c r="A77" s="10" t="inlineStr">
        <is>
          <t>稅前損益</t>
        </is>
      </c>
      <c r="B77" s="21">
        <f>B75</f>
        <v/>
      </c>
    </row>
    <row r="78">
      <c r="A78" s="17" t="inlineStr">
        <is>
          <t>所得稅費用</t>
        </is>
      </c>
      <c r="B78" s="18">
        <f>SUMIF(試算表!$F$2:$F$225,"所得稅",試算表!$E$2:$E$225)</f>
        <v/>
      </c>
    </row>
    <row r="79">
      <c r="A79" s="19" t="inlineStr">
        <is>
          <t xml:space="preserve">  9000 所得稅費用(利益)</t>
        </is>
      </c>
      <c r="B79" s="20">
        <f>VLOOKUP(9000,試算表!$A:$E,5,FALSE)</f>
        <v/>
      </c>
    </row>
    <row r="80">
      <c r="A80" s="19" t="inlineStr">
        <is>
          <t xml:space="preserve">  9500 本期其他綜合損益(稅後淨額)</t>
        </is>
      </c>
      <c r="B80" s="20">
        <f>VLOOKUP(9500,試算表!$A:$E,5,FALSE)</f>
        <v/>
      </c>
    </row>
    <row r="82">
      <c r="A82" s="22" t="inlineStr">
        <is>
          <t>稅後損益</t>
        </is>
      </c>
      <c r="B82" s="23">
        <f>B77-B78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2" t="inlineStr">
        <is>
          <t>增值稅（VAT）計算</t>
        </is>
      </c>
    </row>
    <row r="2">
      <c r="A2" s="13" t="inlineStr">
        <is>
          <t>台灣營業稅率：5%</t>
        </is>
      </c>
    </row>
    <row r="4">
      <c r="A4" s="17" t="inlineStr">
        <is>
          <t>進項稅額（科目 1144）</t>
        </is>
      </c>
      <c r="B4" s="21">
        <f>VLOOKUP("1144",試算表!$A:$E,5,FALSE)</f>
        <v/>
      </c>
    </row>
    <row r="6">
      <c r="A6" s="17" t="inlineStr">
        <is>
          <t>銷項稅額（科目 2171）</t>
        </is>
      </c>
      <c r="B6" s="21">
        <f>VLOOKUP("2171",試算表!$A:$E,5,FALSE)</f>
        <v/>
      </c>
    </row>
    <row r="8">
      <c r="A8" s="22" t="inlineStr">
        <is>
          <t>應繳增值稅</t>
        </is>
      </c>
      <c r="B8" s="23">
        <f>B6-B4</f>
        <v/>
      </c>
    </row>
    <row r="11">
      <c r="A11" s="10" t="inlineStr">
        <is>
          <t>說明：</t>
        </is>
      </c>
    </row>
    <row r="12">
      <c r="A12" t="inlineStr">
        <is>
          <t>應繳 VAT &gt; 0：需繳稅</t>
        </is>
      </c>
    </row>
    <row r="13">
      <c r="A13" t="inlineStr">
        <is>
          <t>應繳 VAT &lt; 0：可退稅（負數表示待退）</t>
        </is>
      </c>
    </row>
    <row r="14">
      <c r="A14" t="inlineStr">
        <is>
          <t>應繳 VAT = 0：不需繳退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2026-04-27T22:43:07Z</dcterms:created>
  <dcterms:modified xsi:type="dcterms:W3CDTF">2026-04-27T22:43:08Z</dcterms:modified>
</cp:coreProperties>
</file>