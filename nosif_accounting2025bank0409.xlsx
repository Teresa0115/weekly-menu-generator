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claude-practice\"/>
    </mc:Choice>
  </mc:AlternateContent>
  <xr:revisionPtr revIDLastSave="0" documentId="13_ncr:1_{1C4FC3D9-1D44-4A5E-B846-A84148DE569E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說明" sheetId="1" r:id="rId1"/>
    <sheet name="科目表" sheetId="2" r:id="rId2"/>
    <sheet name="試算表" sheetId="4" r:id="rId3"/>
    <sheet name="日記簿" sheetId="3" r:id="rId4"/>
    <sheet name="資產負債表" sheetId="5" r:id="rId5"/>
    <sheet name="損益表" sheetId="6" r:id="rId6"/>
    <sheet name="VAT計算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G98" i="3"/>
  <c r="E100" i="3"/>
  <c r="E101" i="3"/>
  <c r="E102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3" i="3" l="1"/>
  <c r="E2" i="3"/>
  <c r="E180" i="4" l="1"/>
  <c r="B52" i="6" s="1"/>
  <c r="E77" i="4"/>
  <c r="B83" i="5" s="1"/>
  <c r="E125" i="4"/>
  <c r="E50" i="5" s="1"/>
  <c r="E141" i="4"/>
  <c r="B7" i="6" s="1"/>
  <c r="E157" i="4"/>
  <c r="B29" i="6" s="1"/>
  <c r="E189" i="4"/>
  <c r="B61" i="6" s="1"/>
  <c r="E197" i="4"/>
  <c r="B69" i="6" s="1"/>
  <c r="E221" i="4"/>
  <c r="E63" i="4"/>
  <c r="B69" i="5" s="1"/>
  <c r="E167" i="4"/>
  <c r="B39" i="6" s="1"/>
  <c r="E175" i="4"/>
  <c r="B47" i="6" s="1"/>
  <c r="E183" i="4"/>
  <c r="B55" i="6" s="1"/>
  <c r="E191" i="4"/>
  <c r="B63" i="6" s="1"/>
  <c r="E199" i="4"/>
  <c r="B71" i="6" s="1"/>
  <c r="E176" i="4"/>
  <c r="B48" i="6" s="1"/>
  <c r="E184" i="4"/>
  <c r="B56" i="6" s="1"/>
  <c r="E200" i="4"/>
  <c r="B72" i="6" s="1"/>
  <c r="E208" i="4"/>
  <c r="E216" i="4"/>
  <c r="E16" i="4"/>
  <c r="B20" i="5" s="1"/>
  <c r="E24" i="4"/>
  <c r="B28" i="5" s="1"/>
  <c r="E32" i="4"/>
  <c r="B36" i="5" s="1"/>
  <c r="E40" i="4"/>
  <c r="B44" i="5" s="1"/>
  <c r="E64" i="4"/>
  <c r="B70" i="5" s="1"/>
  <c r="E80" i="4"/>
  <c r="B86" i="5" s="1"/>
  <c r="E96" i="4"/>
  <c r="E17" i="5" s="1"/>
  <c r="E112" i="4"/>
  <c r="E33" i="5" s="1"/>
  <c r="E224" i="4"/>
  <c r="B79" i="6" s="1"/>
  <c r="E54" i="4"/>
  <c r="B60" i="5" s="1"/>
  <c r="E62" i="4"/>
  <c r="B68" i="5" s="1"/>
  <c r="E78" i="4"/>
  <c r="B84" i="5" s="1"/>
  <c r="E220" i="4"/>
  <c r="E110" i="4"/>
  <c r="E31" i="5" s="1"/>
  <c r="E126" i="4"/>
  <c r="E51" i="5" s="1"/>
  <c r="E150" i="4"/>
  <c r="B22" i="6" s="1"/>
  <c r="E158" i="4"/>
  <c r="B30" i="6" s="1"/>
  <c r="E166" i="4"/>
  <c r="B38" i="6" s="1"/>
  <c r="E174" i="4"/>
  <c r="B46" i="6" s="1"/>
  <c r="E182" i="4"/>
  <c r="B54" i="6" s="1"/>
  <c r="E190" i="4"/>
  <c r="B62" i="6" s="1"/>
  <c r="E206" i="4"/>
  <c r="E222" i="4"/>
  <c r="E223" i="4"/>
  <c r="E65" i="4"/>
  <c r="B71" i="5" s="1"/>
  <c r="E97" i="4"/>
  <c r="E18" i="5" s="1"/>
  <c r="E129" i="4"/>
  <c r="E54" i="5" s="1"/>
  <c r="E145" i="4"/>
  <c r="B13" i="6" s="1"/>
  <c r="E161" i="4"/>
  <c r="B33" i="6" s="1"/>
  <c r="E209" i="4"/>
  <c r="E217" i="4"/>
  <c r="E10" i="4"/>
  <c r="B14" i="5" s="1"/>
  <c r="E26" i="4"/>
  <c r="B30" i="5" s="1"/>
  <c r="E34" i="4"/>
  <c r="B4" i="7" s="1"/>
  <c r="E42" i="4"/>
  <c r="B48" i="5" s="1"/>
  <c r="E50" i="4"/>
  <c r="B56" i="5" s="1"/>
  <c r="E83" i="4"/>
  <c r="B89" i="5" s="1"/>
  <c r="E91" i="4"/>
  <c r="E12" i="5" s="1"/>
  <c r="E123" i="4"/>
  <c r="E46" i="5" s="1"/>
  <c r="E139" i="4"/>
  <c r="B5" i="6" s="1"/>
  <c r="E195" i="4"/>
  <c r="B67" i="6" s="1"/>
  <c r="E52" i="4"/>
  <c r="B58" i="5" s="1"/>
  <c r="E51" i="4"/>
  <c r="B57" i="5" s="1"/>
  <c r="E6" i="4"/>
  <c r="B10" i="5" s="1"/>
  <c r="E14" i="4"/>
  <c r="B18" i="5" s="1"/>
  <c r="E38" i="4"/>
  <c r="B42" i="5" s="1"/>
  <c r="E7" i="4"/>
  <c r="B11" i="5" s="1"/>
  <c r="E23" i="4"/>
  <c r="B27" i="5" s="1"/>
  <c r="E31" i="4"/>
  <c r="B35" i="5" s="1"/>
  <c r="E39" i="4"/>
  <c r="B43" i="5" s="1"/>
  <c r="E47" i="4"/>
  <c r="B53" i="5" s="1"/>
  <c r="E17" i="4"/>
  <c r="B21" i="5" s="1"/>
  <c r="E33" i="4"/>
  <c r="B37" i="5" s="1"/>
  <c r="E124" i="4"/>
  <c r="E49" i="5" s="1"/>
  <c r="E45" i="4"/>
  <c r="B51" i="5" s="1"/>
  <c r="E68" i="4"/>
  <c r="B74" i="5" s="1"/>
  <c r="E172" i="4"/>
  <c r="B44" i="6" s="1"/>
  <c r="E100" i="4"/>
  <c r="E21" i="5" s="1"/>
  <c r="E37" i="4"/>
  <c r="B41" i="5" s="1"/>
  <c r="E58" i="4"/>
  <c r="B64" i="5" s="1"/>
  <c r="E74" i="4"/>
  <c r="B80" i="5" s="1"/>
  <c r="E106" i="4"/>
  <c r="E27" i="5" s="1"/>
  <c r="E122" i="4"/>
  <c r="E45" i="5" s="1"/>
  <c r="E138" i="4"/>
  <c r="E63" i="5" s="1"/>
  <c r="E146" i="4"/>
  <c r="B14" i="6" s="1"/>
  <c r="E154" i="4"/>
  <c r="B26" i="6" s="1"/>
  <c r="E162" i="4"/>
  <c r="B34" i="6" s="1"/>
  <c r="E170" i="4"/>
  <c r="B42" i="6" s="1"/>
  <c r="E186" i="4"/>
  <c r="B58" i="6" s="1"/>
  <c r="E79" i="4"/>
  <c r="B85" i="5" s="1"/>
  <c r="E35" i="4"/>
  <c r="B39" i="5" s="1"/>
  <c r="E43" i="4"/>
  <c r="B49" i="5" s="1"/>
  <c r="E196" i="4"/>
  <c r="B68" i="6" s="1"/>
  <c r="E13" i="4"/>
  <c r="B17" i="5" s="1"/>
  <c r="E12" i="4"/>
  <c r="B16" i="5" s="1"/>
  <c r="E28" i="4"/>
  <c r="B32" i="5" s="1"/>
  <c r="E103" i="4"/>
  <c r="E24" i="5" s="1"/>
  <c r="E88" i="4"/>
  <c r="E9" i="5" s="1"/>
  <c r="E11" i="4"/>
  <c r="B15" i="5" s="1"/>
  <c r="E27" i="4"/>
  <c r="B31" i="5" s="1"/>
  <c r="E130" i="4"/>
  <c r="E55" i="5" s="1"/>
  <c r="E185" i="4"/>
  <c r="B57" i="6" s="1"/>
  <c r="E207" i="4"/>
  <c r="E142" i="4"/>
  <c r="B8" i="6" s="1"/>
  <c r="E41" i="4"/>
  <c r="B45" i="5" s="1"/>
  <c r="E20" i="4"/>
  <c r="B24" i="5" s="1"/>
  <c r="E59" i="4"/>
  <c r="B65" i="5" s="1"/>
  <c r="E75" i="4"/>
  <c r="B81" i="5" s="1"/>
  <c r="E107" i="4"/>
  <c r="E28" i="5" s="1"/>
  <c r="E171" i="4"/>
  <c r="B43" i="6" s="1"/>
  <c r="E179" i="4"/>
  <c r="B51" i="6" s="1"/>
  <c r="E194" i="4"/>
  <c r="B66" i="6" s="1"/>
  <c r="E201" i="4"/>
  <c r="B73" i="6" s="1"/>
  <c r="E95" i="4"/>
  <c r="E16" i="5" s="1"/>
  <c r="E205" i="4"/>
  <c r="E89" i="4"/>
  <c r="E10" i="5" s="1"/>
  <c r="E29" i="4"/>
  <c r="B33" i="5" s="1"/>
  <c r="E76" i="4"/>
  <c r="B82" i="5" s="1"/>
  <c r="E84" i="4"/>
  <c r="B90" i="5" s="1"/>
  <c r="E92" i="4"/>
  <c r="E13" i="5" s="1"/>
  <c r="E132" i="4"/>
  <c r="E57" i="5" s="1"/>
  <c r="E140" i="4"/>
  <c r="B6" i="6" s="1"/>
  <c r="E187" i="4"/>
  <c r="B59" i="6" s="1"/>
  <c r="E202" i="4"/>
  <c r="E218" i="4"/>
  <c r="E127" i="4"/>
  <c r="E52" i="5" s="1"/>
  <c r="E121" i="4"/>
  <c r="E44" i="5" s="1"/>
  <c r="E86" i="4"/>
  <c r="E7" i="5" s="1"/>
  <c r="E198" i="4"/>
  <c r="B70" i="6" s="1"/>
  <c r="E73" i="4"/>
  <c r="B79" i="5" s="1"/>
  <c r="E212" i="4"/>
  <c r="E87" i="4"/>
  <c r="E8" i="5" s="1"/>
  <c r="E30" i="4"/>
  <c r="B34" i="5" s="1"/>
  <c r="E46" i="4"/>
  <c r="B52" i="5" s="1"/>
  <c r="E53" i="4"/>
  <c r="B59" i="5" s="1"/>
  <c r="E61" i="4"/>
  <c r="E93" i="4"/>
  <c r="E14" i="5" s="1"/>
  <c r="E165" i="4"/>
  <c r="B37" i="6" s="1"/>
  <c r="E173" i="4"/>
  <c r="B45" i="6" s="1"/>
  <c r="E203" i="4"/>
  <c r="E219" i="4"/>
  <c r="E3" i="4"/>
  <c r="B7" i="5" s="1"/>
  <c r="E18" i="4"/>
  <c r="B22" i="5" s="1"/>
  <c r="E48" i="4"/>
  <c r="B54" i="5" s="1"/>
  <c r="E108" i="4"/>
  <c r="E29" i="5" s="1"/>
  <c r="E116" i="4"/>
  <c r="E37" i="5" s="1"/>
  <c r="E147" i="4"/>
  <c r="B15" i="6" s="1"/>
  <c r="E155" i="4"/>
  <c r="B27" i="6" s="1"/>
  <c r="E163" i="4"/>
  <c r="B35" i="6" s="1"/>
  <c r="E177" i="4"/>
  <c r="B49" i="6" s="1"/>
  <c r="E192" i="4"/>
  <c r="B64" i="6" s="1"/>
  <c r="D226" i="4"/>
  <c r="E4" i="4"/>
  <c r="B8" i="5" s="1"/>
  <c r="E19" i="4"/>
  <c r="B23" i="5" s="1"/>
  <c r="E49" i="4"/>
  <c r="B55" i="5" s="1"/>
  <c r="E71" i="4"/>
  <c r="B77" i="5" s="1"/>
  <c r="E94" i="4"/>
  <c r="E15" i="5" s="1"/>
  <c r="E109" i="4"/>
  <c r="E30" i="5" s="1"/>
  <c r="E148" i="4"/>
  <c r="B16" i="6" s="1"/>
  <c r="E156" i="4"/>
  <c r="B28" i="6" s="1"/>
  <c r="E164" i="4"/>
  <c r="B36" i="6" s="1"/>
  <c r="E178" i="4"/>
  <c r="B50" i="6" s="1"/>
  <c r="E193" i="4"/>
  <c r="B65" i="6" s="1"/>
  <c r="E215" i="4"/>
  <c r="E36" i="4"/>
  <c r="B40" i="5" s="1"/>
  <c r="E44" i="4"/>
  <c r="B50" i="5" s="1"/>
  <c r="E66" i="4"/>
  <c r="B72" i="5" s="1"/>
  <c r="E81" i="4"/>
  <c r="B87" i="5" s="1"/>
  <c r="E188" i="4"/>
  <c r="B60" i="6" s="1"/>
  <c r="E225" i="4"/>
  <c r="B80" i="6" s="1"/>
  <c r="E151" i="4"/>
  <c r="B23" i="6" s="1"/>
  <c r="E159" i="4"/>
  <c r="B31" i="6" s="1"/>
  <c r="E22" i="4"/>
  <c r="B26" i="5" s="1"/>
  <c r="E67" i="4"/>
  <c r="B73" i="5" s="1"/>
  <c r="E82" i="4"/>
  <c r="B88" i="5" s="1"/>
  <c r="E90" i="4"/>
  <c r="E11" i="5" s="1"/>
  <c r="E128" i="4"/>
  <c r="E53" i="5" s="1"/>
  <c r="E8" i="4"/>
  <c r="B12" i="5" s="1"/>
  <c r="E60" i="4"/>
  <c r="B66" i="5" s="1"/>
  <c r="E113" i="4"/>
  <c r="E34" i="5" s="1"/>
  <c r="E144" i="4"/>
  <c r="B10" i="6" s="1"/>
  <c r="E152" i="4"/>
  <c r="B24" i="6" s="1"/>
  <c r="E160" i="4"/>
  <c r="B32" i="6" s="1"/>
  <c r="E168" i="4"/>
  <c r="B40" i="6" s="1"/>
  <c r="E204" i="4"/>
  <c r="E153" i="4"/>
  <c r="B25" i="6" s="1"/>
  <c r="E181" i="4"/>
  <c r="B53" i="6" s="1"/>
  <c r="E119" i="4"/>
  <c r="E42" i="5" s="1"/>
  <c r="E133" i="4"/>
  <c r="E58" i="5" s="1"/>
  <c r="E85" i="4"/>
  <c r="E6" i="5" s="1"/>
  <c r="E99" i="4"/>
  <c r="E120" i="4"/>
  <c r="E43" i="5" s="1"/>
  <c r="E55" i="4"/>
  <c r="B61" i="5" s="1"/>
  <c r="E105" i="4"/>
  <c r="E26" i="5" s="1"/>
  <c r="E111" i="4"/>
  <c r="E32" i="5" s="1"/>
  <c r="E98" i="4"/>
  <c r="E19" i="5" s="1"/>
  <c r="C226" i="4"/>
  <c r="E9" i="4"/>
  <c r="B13" i="5" s="1"/>
  <c r="E15" i="4"/>
  <c r="B19" i="5" s="1"/>
  <c r="E72" i="4"/>
  <c r="B78" i="5" s="1"/>
  <c r="E134" i="4"/>
  <c r="E59" i="5" s="1"/>
  <c r="E169" i="4"/>
  <c r="B41" i="6" s="1"/>
  <c r="E210" i="4"/>
  <c r="E56" i="4"/>
  <c r="B62" i="5" s="1"/>
  <c r="E118" i="4"/>
  <c r="E39" i="5" s="1"/>
  <c r="E70" i="4"/>
  <c r="B76" i="5" s="1"/>
  <c r="E57" i="4"/>
  <c r="B63" i="5" s="1"/>
  <c r="E104" i="4"/>
  <c r="E25" i="5" s="1"/>
  <c r="E114" i="4"/>
  <c r="E35" i="5" s="1"/>
  <c r="E135" i="4"/>
  <c r="E60" i="5" s="1"/>
  <c r="E211" i="4"/>
  <c r="E149" i="4"/>
  <c r="B21" i="6" s="1"/>
  <c r="E25" i="4"/>
  <c r="B29" i="5" s="1"/>
  <c r="E101" i="4"/>
  <c r="E22" i="5" s="1"/>
  <c r="E115" i="4"/>
  <c r="E36" i="5" s="1"/>
  <c r="E136" i="4"/>
  <c r="E61" i="5" s="1"/>
  <c r="E131" i="4"/>
  <c r="E21" i="4"/>
  <c r="B25" i="5" s="1"/>
  <c r="E5" i="4"/>
  <c r="B9" i="5" s="1"/>
  <c r="E102" i="4"/>
  <c r="E23" i="5" s="1"/>
  <c r="E137" i="4"/>
  <c r="E62" i="5" s="1"/>
  <c r="E143" i="4"/>
  <c r="B9" i="6" s="1"/>
  <c r="E117" i="4"/>
  <c r="E38" i="5" s="1"/>
  <c r="E69" i="4"/>
  <c r="B75" i="5" s="1"/>
  <c r="E213" i="4"/>
  <c r="E214" i="4"/>
  <c r="E2" i="4"/>
  <c r="B6" i="5" s="1"/>
  <c r="B38" i="5" l="1"/>
  <c r="B46" i="5" s="1"/>
  <c r="B78" i="6"/>
  <c r="B91" i="5"/>
  <c r="E20" i="5"/>
  <c r="E40" i="5" s="1"/>
  <c r="B6" i="7"/>
  <c r="B8" i="7" s="1"/>
  <c r="B12" i="6"/>
  <c r="B20" i="6"/>
  <c r="B4" i="6"/>
  <c r="C228" i="4"/>
  <c r="E47" i="5"/>
  <c r="B18" i="6" l="1"/>
  <c r="B75" i="6" s="1"/>
  <c r="B77" i="6" s="1"/>
  <c r="B82" i="6" s="1"/>
  <c r="E56" i="5" s="1"/>
  <c r="E64" i="5" s="1"/>
  <c r="E65" i="5" s="1"/>
  <c r="B92" i="5"/>
  <c r="H75" i="5" l="1"/>
  <c r="B67" i="5"/>
</calcChain>
</file>

<file path=xl/sharedStrings.xml><?xml version="1.0" encoding="utf-8"?>
<sst xmlns="http://schemas.openxmlformats.org/spreadsheetml/2006/main" count="2221" uniqueCount="735">
  <si>
    <t>台灣小公司 Excel 記帳系統</t>
  </si>
  <si>
    <t>使用說明</t>
  </si>
  <si>
    <t>1. 在「日記簿」頁面輸入所有傳票記錄</t>
  </si>
  <si>
    <t>2. 科目表可在「科目表」頁面查看和修改</t>
  </si>
  <si>
    <t>3. 「試算表」會自動計算每個科目的借貸合計和餘額</t>
  </si>
  <si>
    <t>4. 「資產負債表」和「損益表」會自動根據試算表生成</t>
  </si>
  <si>
    <t>5. 「VAT計算」頁面顯示進項稅和銷項稅</t>
  </si>
  <si>
    <t>日記簿輸入欄位：</t>
  </si>
  <si>
    <t>- 傳票號：唯一編號（如 2401001）</t>
  </si>
  <si>
    <t>- 日期：YYYY/MM/DD 格式</t>
  </si>
  <si>
    <t>- 摘要：交易說明</t>
  </si>
  <si>
    <t>- 科目代號：必須是科目表中的代號</t>
  </si>
  <si>
    <t>- 借方金額：此科目貸方金額為 0</t>
  </si>
  <si>
    <t>- 貸方金額：此科目借方金額為 0</t>
  </si>
  <si>
    <t>提醒：借方 = 貸方（雙重記帳原則）</t>
  </si>
  <si>
    <t>科目代號</t>
  </si>
  <si>
    <t>科目名稱</t>
  </si>
  <si>
    <t>借/貸</t>
  </si>
  <si>
    <t>科目類別</t>
  </si>
  <si>
    <t>BS分類</t>
  </si>
  <si>
    <t>1111</t>
  </si>
  <si>
    <t>零用金</t>
  </si>
  <si>
    <t>借</t>
  </si>
  <si>
    <t>資產</t>
  </si>
  <si>
    <t>流動資產</t>
  </si>
  <si>
    <t>1112</t>
  </si>
  <si>
    <t>銀行存款</t>
  </si>
  <si>
    <t>11121</t>
  </si>
  <si>
    <t>銀行存款-國泰</t>
  </si>
  <si>
    <t>11122</t>
  </si>
  <si>
    <t>銀行存款-合庫</t>
  </si>
  <si>
    <t>11123</t>
  </si>
  <si>
    <t>銀行存款-台銀活存</t>
  </si>
  <si>
    <t>11124</t>
  </si>
  <si>
    <t>銀行存款-台銀支存</t>
  </si>
  <si>
    <t>1113</t>
  </si>
  <si>
    <t>約當現金</t>
  </si>
  <si>
    <t>1114</t>
  </si>
  <si>
    <t>短期投資</t>
  </si>
  <si>
    <t>1151</t>
  </si>
  <si>
    <t>透過損益按公允價值衡量之金融資產-流動</t>
  </si>
  <si>
    <t>1154</t>
  </si>
  <si>
    <t>避險之金融資產-流動</t>
  </si>
  <si>
    <t>1158</t>
  </si>
  <si>
    <t>透過其他綜合損益按公允價值衡量之金融資產-流動</t>
  </si>
  <si>
    <t>1161</t>
  </si>
  <si>
    <t>按攤銷後成本衡量之金融資產－流動</t>
  </si>
  <si>
    <t>1157</t>
  </si>
  <si>
    <t>其他金融資產-流動</t>
  </si>
  <si>
    <t>1159</t>
  </si>
  <si>
    <t>減:累計減損-金融資產-流動</t>
  </si>
  <si>
    <t>貸</t>
  </si>
  <si>
    <t>1125</t>
  </si>
  <si>
    <t>合約資產-流動</t>
  </si>
  <si>
    <t>1126</t>
  </si>
  <si>
    <t>減:累計減損-合約資產-流動</t>
  </si>
  <si>
    <t>1121</t>
  </si>
  <si>
    <t>應收票據</t>
  </si>
  <si>
    <t>1122</t>
  </si>
  <si>
    <t>減:備抵呆帳-應收票據</t>
  </si>
  <si>
    <t>1123</t>
  </si>
  <si>
    <t>應收帳款</t>
  </si>
  <si>
    <t>1124</t>
  </si>
  <si>
    <t>減:備抵呆帳-應收帳款</t>
  </si>
  <si>
    <t>1129</t>
  </si>
  <si>
    <t>其他應收款</t>
  </si>
  <si>
    <t>1131</t>
  </si>
  <si>
    <t>商品</t>
  </si>
  <si>
    <t>1132</t>
  </si>
  <si>
    <t>製成品</t>
  </si>
  <si>
    <t>1133</t>
  </si>
  <si>
    <t>在製品</t>
  </si>
  <si>
    <t>1134</t>
  </si>
  <si>
    <t>原料</t>
  </si>
  <si>
    <t>1135</t>
  </si>
  <si>
    <t>物料</t>
  </si>
  <si>
    <t>1136</t>
  </si>
  <si>
    <t>寄銷品</t>
  </si>
  <si>
    <t>1138</t>
  </si>
  <si>
    <t>其他存貨</t>
  </si>
  <si>
    <t>1137</t>
  </si>
  <si>
    <t>備抵存貨跌價損失</t>
  </si>
  <si>
    <t>1141</t>
  </si>
  <si>
    <t>預付費用</t>
  </si>
  <si>
    <t>1142</t>
  </si>
  <si>
    <t>用品盤存</t>
  </si>
  <si>
    <t>1143</t>
  </si>
  <si>
    <t>預付貨款</t>
  </si>
  <si>
    <t>1144</t>
  </si>
  <si>
    <t>進項稅額</t>
  </si>
  <si>
    <t>1145</t>
  </si>
  <si>
    <t>留抵稅額</t>
  </si>
  <si>
    <t>1149</t>
  </si>
  <si>
    <t>其他預付款</t>
  </si>
  <si>
    <t>1191</t>
  </si>
  <si>
    <t>暫付款</t>
  </si>
  <si>
    <t>1192</t>
  </si>
  <si>
    <t>股東往來</t>
  </si>
  <si>
    <t>1193</t>
  </si>
  <si>
    <t>同業往來</t>
  </si>
  <si>
    <t>1199</t>
  </si>
  <si>
    <t>其他流動資產-其他</t>
  </si>
  <si>
    <t>1300</t>
  </si>
  <si>
    <t>長期性之投資</t>
  </si>
  <si>
    <t>1415</t>
  </si>
  <si>
    <t>減:累計減損-長期性之投資</t>
  </si>
  <si>
    <t>非流動資產</t>
  </si>
  <si>
    <t>1612</t>
  </si>
  <si>
    <t>透過損益按公允價值衡量之金融資產-非流動</t>
  </si>
  <si>
    <t>1615</t>
  </si>
  <si>
    <t>避險之金融資產-非流動</t>
  </si>
  <si>
    <t>1621</t>
  </si>
  <si>
    <t>透過其他綜合損益按公允價值衡量之金融資產-非流動</t>
  </si>
  <si>
    <t>1622</t>
  </si>
  <si>
    <t>按攤銷後成本衡量之金融資產－非流動</t>
  </si>
  <si>
    <t>1618</t>
  </si>
  <si>
    <t>其他金融資產-非流動</t>
  </si>
  <si>
    <t>1630</t>
  </si>
  <si>
    <t>採用權益法之投資</t>
  </si>
  <si>
    <t>1631</t>
  </si>
  <si>
    <t>減:累計減損-金融資產-非流動</t>
  </si>
  <si>
    <t>1640</t>
  </si>
  <si>
    <t>合約資產-非流動</t>
  </si>
  <si>
    <t>1641</t>
  </si>
  <si>
    <t>減:累計減損-合約資產-非流動</t>
  </si>
  <si>
    <t>1410</t>
  </si>
  <si>
    <t>土地</t>
  </si>
  <si>
    <t>1411</t>
  </si>
  <si>
    <t>減:累計減損-土地</t>
  </si>
  <si>
    <t>1431</t>
  </si>
  <si>
    <t>房屋及建築</t>
  </si>
  <si>
    <t>1432</t>
  </si>
  <si>
    <t>減:累計折舊-房屋及建築</t>
  </si>
  <si>
    <t>1433</t>
  </si>
  <si>
    <t>減:累計減損-房屋及建築</t>
  </si>
  <si>
    <t>1441</t>
  </si>
  <si>
    <t>機器設備</t>
  </si>
  <si>
    <t>1442</t>
  </si>
  <si>
    <t>減:累計折舊-機器設備</t>
  </si>
  <si>
    <t>1443</t>
  </si>
  <si>
    <t>減:累計減損-機器設備</t>
  </si>
  <si>
    <t>1451</t>
  </si>
  <si>
    <t>運輸設備</t>
  </si>
  <si>
    <t>1452</t>
  </si>
  <si>
    <t>減:累計折舊-運輸設備</t>
  </si>
  <si>
    <t>1453</t>
  </si>
  <si>
    <t>減:累計減損-運輸設備</t>
  </si>
  <si>
    <t>1461</t>
  </si>
  <si>
    <t>生財器具</t>
  </si>
  <si>
    <t>1462</t>
  </si>
  <si>
    <t>減:累計折舊-生財器具</t>
  </si>
  <si>
    <t>1463</t>
  </si>
  <si>
    <t>減:累計減損-生財器具</t>
  </si>
  <si>
    <t>1470</t>
  </si>
  <si>
    <t>未完工程及待驗設備</t>
  </si>
  <si>
    <t>1580</t>
  </si>
  <si>
    <t>預付購置設備款</t>
  </si>
  <si>
    <t>1491</t>
  </si>
  <si>
    <t>其他固定資產</t>
  </si>
  <si>
    <t>1492</t>
  </si>
  <si>
    <t>減:累計折舊-其他固定資產</t>
  </si>
  <si>
    <t>1493</t>
  </si>
  <si>
    <t>減:累計減損-其他固定資產</t>
  </si>
  <si>
    <t>1541</t>
  </si>
  <si>
    <t>投資性不動產</t>
  </si>
  <si>
    <t>1542</t>
  </si>
  <si>
    <t>減:累計折舊-投資性不動產</t>
  </si>
  <si>
    <t>1421</t>
  </si>
  <si>
    <t>礦產資源</t>
  </si>
  <si>
    <t>1422</t>
  </si>
  <si>
    <t>減:累計折耗-礦產資源</t>
  </si>
  <si>
    <t>1551</t>
  </si>
  <si>
    <t>生物資產</t>
  </si>
  <si>
    <t>1552</t>
  </si>
  <si>
    <t>減:累計折舊-生物資產</t>
  </si>
  <si>
    <t>1553</t>
  </si>
  <si>
    <t>減:累計減損-生物資產</t>
  </si>
  <si>
    <t>1510</t>
  </si>
  <si>
    <t>無形資產</t>
  </si>
  <si>
    <t>1511</t>
  </si>
  <si>
    <t>減:累計攤折-無形資產</t>
  </si>
  <si>
    <t>1512</t>
  </si>
  <si>
    <t>減:累計減損-無形資產</t>
  </si>
  <si>
    <t>1901</t>
  </si>
  <si>
    <t>存出保證金</t>
  </si>
  <si>
    <t>1902</t>
  </si>
  <si>
    <t>未攤銷費用</t>
  </si>
  <si>
    <t>1903</t>
  </si>
  <si>
    <t>預付設備款</t>
  </si>
  <si>
    <t>1904</t>
  </si>
  <si>
    <t>其他非流動資產-其他</t>
  </si>
  <si>
    <t>2111</t>
  </si>
  <si>
    <t>銀行透支</t>
  </si>
  <si>
    <t>負債</t>
  </si>
  <si>
    <t>流動負債</t>
  </si>
  <si>
    <t>2112</t>
  </si>
  <si>
    <t>銀行借款</t>
  </si>
  <si>
    <t>2113</t>
  </si>
  <si>
    <t>應付短期票券</t>
  </si>
  <si>
    <t>2119</t>
  </si>
  <si>
    <t>其他短期借款</t>
  </si>
  <si>
    <t>2140</t>
  </si>
  <si>
    <t>透過損益按公允價值衡量之金融負債-流動</t>
  </si>
  <si>
    <t>2150</t>
  </si>
  <si>
    <t>避險之金融負債-流動</t>
  </si>
  <si>
    <t>2170</t>
  </si>
  <si>
    <t>特別股負債-流動</t>
  </si>
  <si>
    <t>2180</t>
  </si>
  <si>
    <t>其他金融負債-流動</t>
  </si>
  <si>
    <t>2126</t>
  </si>
  <si>
    <t>合約負債-流動</t>
  </si>
  <si>
    <t>2120</t>
  </si>
  <si>
    <t>應付票據</t>
  </si>
  <si>
    <t>2121</t>
  </si>
  <si>
    <t>應付帳款</t>
  </si>
  <si>
    <t>2131</t>
  </si>
  <si>
    <t>應付費用</t>
  </si>
  <si>
    <t>2132</t>
  </si>
  <si>
    <t>應付稅捐</t>
  </si>
  <si>
    <t>2133</t>
  </si>
  <si>
    <t>應付股利</t>
  </si>
  <si>
    <t>2134</t>
  </si>
  <si>
    <t>銷項稅額</t>
  </si>
  <si>
    <t>2135</t>
  </si>
  <si>
    <t>其他應付款-其他</t>
  </si>
  <si>
    <t>2137</t>
  </si>
  <si>
    <t>預收貨款</t>
  </si>
  <si>
    <t>2138</t>
  </si>
  <si>
    <t>其他預收款</t>
  </si>
  <si>
    <t>2191</t>
  </si>
  <si>
    <t>暫收款</t>
  </si>
  <si>
    <t>2192</t>
  </si>
  <si>
    <t>2195</t>
  </si>
  <si>
    <t>代收款</t>
  </si>
  <si>
    <t>21951</t>
  </si>
  <si>
    <t>代收款-健保費</t>
  </si>
  <si>
    <t>21952</t>
  </si>
  <si>
    <t>代收款-勞保費</t>
  </si>
  <si>
    <t>21953</t>
  </si>
  <si>
    <t>代收款-扣繳稅款</t>
  </si>
  <si>
    <t>2196</t>
  </si>
  <si>
    <t>其他流動負債-其他</t>
  </si>
  <si>
    <t>2210</t>
  </si>
  <si>
    <t>應付公司債</t>
  </si>
  <si>
    <t>2220</t>
  </si>
  <si>
    <t>長期借款</t>
  </si>
  <si>
    <t>2230</t>
  </si>
  <si>
    <t>透過損益按公允價值衡量之金融負債-非流動</t>
  </si>
  <si>
    <t>2240</t>
  </si>
  <si>
    <t>避險之金融負債-非流動</t>
  </si>
  <si>
    <t>2260</t>
  </si>
  <si>
    <t>特別股負債-非流動</t>
  </si>
  <si>
    <t>2270</t>
  </si>
  <si>
    <t>其他金融負債-非流動</t>
  </si>
  <si>
    <t>2280</t>
  </si>
  <si>
    <t>長期應付票據及款項</t>
  </si>
  <si>
    <t>2281</t>
  </si>
  <si>
    <t>合約負債-非流動</t>
  </si>
  <si>
    <t>2290</t>
  </si>
  <si>
    <t>其他長期負債</t>
  </si>
  <si>
    <t>2910</t>
  </si>
  <si>
    <t>存入保證金</t>
  </si>
  <si>
    <t>非流動負債</t>
  </si>
  <si>
    <t>2940</t>
  </si>
  <si>
    <t>退休金準備</t>
  </si>
  <si>
    <t>2951</t>
  </si>
  <si>
    <t>國外投資損失準備</t>
  </si>
  <si>
    <t>2970</t>
  </si>
  <si>
    <t>受託承銷品</t>
  </si>
  <si>
    <t>2999</t>
  </si>
  <si>
    <t>其他非流動負債-其他</t>
  </si>
  <si>
    <t>3110</t>
  </si>
  <si>
    <t>實收資本</t>
  </si>
  <si>
    <t>權益</t>
  </si>
  <si>
    <t>股東權益</t>
  </si>
  <si>
    <t>3330</t>
  </si>
  <si>
    <t>資本公積</t>
  </si>
  <si>
    <t>3410</t>
  </si>
  <si>
    <t>法定盈餘公積</t>
  </si>
  <si>
    <t>3420</t>
  </si>
  <si>
    <t>特別盈餘公積</t>
  </si>
  <si>
    <t>3430</t>
  </si>
  <si>
    <t>累積盈虧</t>
  </si>
  <si>
    <t>3434</t>
  </si>
  <si>
    <t>追溯適用及追溯重編之影響數</t>
  </si>
  <si>
    <t>3435</t>
  </si>
  <si>
    <t>本年度其他綜合損益轉入之稅後淨額</t>
  </si>
  <si>
    <t>3440</t>
  </si>
  <si>
    <t>本期損益　　(結算科目，請勿複製)</t>
  </si>
  <si>
    <t>3502</t>
  </si>
  <si>
    <t>避險中屬有效避險部分之避險工具損益</t>
  </si>
  <si>
    <t>3503</t>
  </si>
  <si>
    <t>國外營運機構財務報表換算之兌換差額</t>
  </si>
  <si>
    <t>3504</t>
  </si>
  <si>
    <t>未實現重估增值</t>
  </si>
  <si>
    <t>3505</t>
  </si>
  <si>
    <t>確定福利計畫再衡量數</t>
  </si>
  <si>
    <t>3507</t>
  </si>
  <si>
    <t>透過其他綜合損益按公允價值衡量之未實現損益</t>
  </si>
  <si>
    <t>3506</t>
  </si>
  <si>
    <t>其他權益-其他</t>
  </si>
  <si>
    <t>3600</t>
  </si>
  <si>
    <t>減:庫藏股票</t>
  </si>
  <si>
    <t>4100</t>
  </si>
  <si>
    <t>銷貨收入</t>
  </si>
  <si>
    <t>收入</t>
  </si>
  <si>
    <t>4110</t>
  </si>
  <si>
    <t>減:銷貨退回</t>
  </si>
  <si>
    <t>4120</t>
  </si>
  <si>
    <t>減:銷貨折讓</t>
  </si>
  <si>
    <t>4200</t>
  </si>
  <si>
    <t>勞務收入</t>
  </si>
  <si>
    <t>4300</t>
  </si>
  <si>
    <t>加工收入</t>
  </si>
  <si>
    <t>4400</t>
  </si>
  <si>
    <t>工程收入</t>
  </si>
  <si>
    <t>5100</t>
  </si>
  <si>
    <t>銷貨成本</t>
  </si>
  <si>
    <t>5200</t>
  </si>
  <si>
    <t>勞務成本</t>
  </si>
  <si>
    <t>5300</t>
  </si>
  <si>
    <t>加工成本</t>
  </si>
  <si>
    <t>5400</t>
  </si>
  <si>
    <t>工程成本</t>
  </si>
  <si>
    <t>6010</t>
  </si>
  <si>
    <t>薪資支出</t>
  </si>
  <si>
    <t>費用</t>
  </si>
  <si>
    <t>6020</t>
  </si>
  <si>
    <t>租金支出</t>
  </si>
  <si>
    <t>6030</t>
  </si>
  <si>
    <t>文具用品</t>
  </si>
  <si>
    <t>6040</t>
  </si>
  <si>
    <t>旅費</t>
  </si>
  <si>
    <t>6050</t>
  </si>
  <si>
    <t>運費</t>
  </si>
  <si>
    <t>6060</t>
  </si>
  <si>
    <t>郵電費</t>
  </si>
  <si>
    <t>6070</t>
  </si>
  <si>
    <t>修繕費</t>
  </si>
  <si>
    <t>6080</t>
  </si>
  <si>
    <t>廣告費</t>
  </si>
  <si>
    <t>6090</t>
  </si>
  <si>
    <t>水電瓦斯費</t>
  </si>
  <si>
    <t>6100</t>
  </si>
  <si>
    <t>保險費</t>
  </si>
  <si>
    <t>6110</t>
  </si>
  <si>
    <t>交際費</t>
  </si>
  <si>
    <t>6120</t>
  </si>
  <si>
    <t>捐贈</t>
  </si>
  <si>
    <t>6130</t>
  </si>
  <si>
    <t>稅捐</t>
  </si>
  <si>
    <t>6140</t>
  </si>
  <si>
    <t>呆帳損失</t>
  </si>
  <si>
    <t>6150</t>
  </si>
  <si>
    <t>折舊</t>
  </si>
  <si>
    <t>6160</t>
  </si>
  <si>
    <t>各項耗竭及攤提</t>
  </si>
  <si>
    <t>6170</t>
  </si>
  <si>
    <t>外銷損失</t>
  </si>
  <si>
    <t>6180</t>
  </si>
  <si>
    <t>伙食費</t>
  </si>
  <si>
    <t>6190</t>
  </si>
  <si>
    <t>職工福利</t>
  </si>
  <si>
    <t>6200</t>
  </si>
  <si>
    <t>研究費</t>
  </si>
  <si>
    <t>6210</t>
  </si>
  <si>
    <t>佣金支出</t>
  </si>
  <si>
    <t>6220</t>
  </si>
  <si>
    <t>訓練費</t>
  </si>
  <si>
    <t>6230</t>
  </si>
  <si>
    <t>其他費用</t>
  </si>
  <si>
    <t>6240</t>
  </si>
  <si>
    <t>加班費</t>
  </si>
  <si>
    <t>6250</t>
  </si>
  <si>
    <t>退休金</t>
  </si>
  <si>
    <t>6260</t>
  </si>
  <si>
    <t>書報雜誌</t>
  </si>
  <si>
    <t>6270</t>
  </si>
  <si>
    <t>雜項購置</t>
  </si>
  <si>
    <t>6280</t>
  </si>
  <si>
    <t>出口費用</t>
  </si>
  <si>
    <t>6290</t>
  </si>
  <si>
    <t>手續費</t>
  </si>
  <si>
    <t>6300</t>
  </si>
  <si>
    <t>匯費</t>
  </si>
  <si>
    <t>6310</t>
  </si>
  <si>
    <t>檢驗費</t>
  </si>
  <si>
    <t>6320</t>
  </si>
  <si>
    <t>交通費</t>
  </si>
  <si>
    <t>6330</t>
  </si>
  <si>
    <t>公會費</t>
  </si>
  <si>
    <t>6340</t>
  </si>
  <si>
    <t>燃料費</t>
  </si>
  <si>
    <t>6350</t>
  </si>
  <si>
    <t>醫藥費</t>
  </si>
  <si>
    <t>6360</t>
  </si>
  <si>
    <t>規費</t>
  </si>
  <si>
    <t>6370</t>
  </si>
  <si>
    <t>包裝費</t>
  </si>
  <si>
    <t>6380</t>
  </si>
  <si>
    <t>加工費用</t>
  </si>
  <si>
    <t>6390</t>
  </si>
  <si>
    <t>消耗費</t>
  </si>
  <si>
    <t>6400</t>
  </si>
  <si>
    <t>勞務費</t>
  </si>
  <si>
    <t>6410</t>
  </si>
  <si>
    <t>倉租</t>
  </si>
  <si>
    <t>6420</t>
  </si>
  <si>
    <t>報關費</t>
  </si>
  <si>
    <t>6430</t>
  </si>
  <si>
    <t>進口運費</t>
  </si>
  <si>
    <t>6440</t>
  </si>
  <si>
    <t>出口結匯費</t>
  </si>
  <si>
    <t>6450</t>
  </si>
  <si>
    <t>碼頭工資</t>
  </si>
  <si>
    <t>6460</t>
  </si>
  <si>
    <t>服務費</t>
  </si>
  <si>
    <t>6470</t>
  </si>
  <si>
    <t>清潔費</t>
  </si>
  <si>
    <t>6480</t>
  </si>
  <si>
    <t>樣品費</t>
  </si>
  <si>
    <t>6490</t>
  </si>
  <si>
    <t>稿費</t>
  </si>
  <si>
    <t>6500</t>
  </si>
  <si>
    <t>排印費</t>
  </si>
  <si>
    <t>6510</t>
  </si>
  <si>
    <t>製版費</t>
  </si>
  <si>
    <t>6520</t>
  </si>
  <si>
    <t>出版費</t>
  </si>
  <si>
    <t>6530</t>
  </si>
  <si>
    <t>工具費</t>
  </si>
  <si>
    <t>7010</t>
  </si>
  <si>
    <t>一般股息與紅利</t>
  </si>
  <si>
    <t>非營業收入</t>
  </si>
  <si>
    <t>7040</t>
  </si>
  <si>
    <t>利息收入</t>
  </si>
  <si>
    <t>7050</t>
  </si>
  <si>
    <t>租賃收入</t>
  </si>
  <si>
    <t>7060</t>
  </si>
  <si>
    <t>財產交易增益</t>
  </si>
  <si>
    <t>7070</t>
  </si>
  <si>
    <t>佣金收入</t>
  </si>
  <si>
    <t>7080</t>
  </si>
  <si>
    <t>商品盤盈</t>
  </si>
  <si>
    <t>7090</t>
  </si>
  <si>
    <t>兌換盈益</t>
  </si>
  <si>
    <t>7100</t>
  </si>
  <si>
    <t>其他收入</t>
  </si>
  <si>
    <t>7110</t>
  </si>
  <si>
    <t>保險補償金</t>
  </si>
  <si>
    <t>7130</t>
  </si>
  <si>
    <t>獎勵金收入</t>
  </si>
  <si>
    <t>7140</t>
  </si>
  <si>
    <t>中獎收入</t>
  </si>
  <si>
    <t>7150</t>
  </si>
  <si>
    <t>7160</t>
  </si>
  <si>
    <t>退稅收入</t>
  </si>
  <si>
    <t>8010</t>
  </si>
  <si>
    <t>利息支出</t>
  </si>
  <si>
    <t>非營業費用</t>
  </si>
  <si>
    <t>8020</t>
  </si>
  <si>
    <t>投資損失</t>
  </si>
  <si>
    <t>8030</t>
  </si>
  <si>
    <t>財產交易損失</t>
  </si>
  <si>
    <t>8040</t>
  </si>
  <si>
    <t>災害損失</t>
  </si>
  <si>
    <t>8050</t>
  </si>
  <si>
    <t>商品盤損</t>
  </si>
  <si>
    <t>8060</t>
  </si>
  <si>
    <t>兌換損失</t>
  </si>
  <si>
    <t>8070</t>
  </si>
  <si>
    <t>其他損失</t>
  </si>
  <si>
    <t>8080</t>
  </si>
  <si>
    <t>竊盜損失</t>
  </si>
  <si>
    <t>8090</t>
  </si>
  <si>
    <t>9000</t>
  </si>
  <si>
    <t>所得稅費用(利益)</t>
  </si>
  <si>
    <t>所得稅</t>
  </si>
  <si>
    <t>9500</t>
  </si>
  <si>
    <t>本期其他綜合損益(稅後淨額)</t>
  </si>
  <si>
    <t>傳票號</t>
  </si>
  <si>
    <t>日期</t>
  </si>
  <si>
    <t>摘要</t>
  </si>
  <si>
    <t>借方金額</t>
  </si>
  <si>
    <t>貸方金額</t>
  </si>
  <si>
    <t>2025/01/01</t>
  </si>
  <si>
    <t>借方合計</t>
  </si>
  <si>
    <t>貸方合計</t>
  </si>
  <si>
    <t>餘額</t>
  </si>
  <si>
    <t>合計</t>
  </si>
  <si>
    <t>借貸平衡檢查:</t>
  </si>
  <si>
    <t>資產負債表</t>
  </si>
  <si>
    <t>負債及權益</t>
  </si>
  <si>
    <t xml:space="preserve">  1111 零用金</t>
  </si>
  <si>
    <t xml:space="preserve">  2111 銀行透支</t>
  </si>
  <si>
    <t xml:space="preserve">  1112 銀行存款</t>
  </si>
  <si>
    <t xml:space="preserve">  2112 銀行借款</t>
  </si>
  <si>
    <t xml:space="preserve">  11121 銀行存款-國泰</t>
  </si>
  <si>
    <t xml:space="preserve">  2113 應付短期票券</t>
  </si>
  <si>
    <t xml:space="preserve">  11122 銀行存款-合庫</t>
  </si>
  <si>
    <t xml:space="preserve">  2119 其他短期借款</t>
  </si>
  <si>
    <t xml:space="preserve">  11123 銀行存款-台銀活存</t>
  </si>
  <si>
    <t xml:space="preserve">  2140 透過損益按公允價值衡量之金融負債-流動</t>
  </si>
  <si>
    <t xml:space="preserve">  11124 銀行存款-台銀支存</t>
  </si>
  <si>
    <t xml:space="preserve">  2150 避險之金融負債-流動</t>
  </si>
  <si>
    <t xml:space="preserve">  1113 約當現金</t>
  </si>
  <si>
    <t xml:space="preserve">  2170 特別股負債-流動</t>
  </si>
  <si>
    <t xml:space="preserve">  1114 短期投資</t>
  </si>
  <si>
    <t xml:space="preserve">  2180 其他金融負債-流動</t>
  </si>
  <si>
    <t xml:space="preserve">  1151 透過損益按公允價值衡量之金融資產-流動</t>
  </si>
  <si>
    <t xml:space="preserve">  2126 合約負債-流動</t>
  </si>
  <si>
    <t xml:space="preserve">  1154 避險之金融資產-流動</t>
  </si>
  <si>
    <t xml:space="preserve">  2120 應付票據</t>
  </si>
  <si>
    <t xml:space="preserve">  1158 透過其他綜合損益按公允價值衡量之金融資產-流動</t>
  </si>
  <si>
    <t xml:space="preserve">  2121 應付帳款</t>
  </si>
  <si>
    <t xml:space="preserve">  1161 按攤銷後成本衡量之金融資產－流動</t>
  </si>
  <si>
    <t xml:space="preserve">  2131 應付費用</t>
  </si>
  <si>
    <t xml:space="preserve">  1157 其他金融資產-流動</t>
  </si>
  <si>
    <t xml:space="preserve">  2132 應付稅捐</t>
  </si>
  <si>
    <t xml:space="preserve">  1159 減:累計減損-金融資產-流動</t>
  </si>
  <si>
    <t xml:space="preserve">  2133 應付股利</t>
  </si>
  <si>
    <t xml:space="preserve">  1125 合約資產-流動</t>
  </si>
  <si>
    <t xml:space="preserve">  2134 銷項稅額</t>
  </si>
  <si>
    <t xml:space="preserve">  1126 減:累計減損-合約資產-流動</t>
  </si>
  <si>
    <t xml:space="preserve">  2135 其他應付款-其他</t>
  </si>
  <si>
    <t xml:space="preserve">  1121 應收票據</t>
  </si>
  <si>
    <t xml:space="preserve">  2137 預收貨款</t>
  </si>
  <si>
    <t xml:space="preserve">  1122 減:備抵呆帳-應收票據</t>
  </si>
  <si>
    <t xml:space="preserve">  2138 其他預收款</t>
  </si>
  <si>
    <t xml:space="preserve">  1123 應收帳款</t>
  </si>
  <si>
    <t xml:space="preserve">  2191 暫收款</t>
  </si>
  <si>
    <t xml:space="preserve">  1124 減:備抵呆帳-應收帳款</t>
  </si>
  <si>
    <t xml:space="preserve">  2192 股東往來</t>
  </si>
  <si>
    <t xml:space="preserve">  1129 其他應收款</t>
  </si>
  <si>
    <t xml:space="preserve">  2195 代收款</t>
  </si>
  <si>
    <t xml:space="preserve">  1131 商品</t>
  </si>
  <si>
    <t xml:space="preserve">  21951 代收款-健保費</t>
  </si>
  <si>
    <t xml:space="preserve">  1132 製成品</t>
  </si>
  <si>
    <t xml:space="preserve">  21952 代收款-勞保費</t>
  </si>
  <si>
    <t xml:space="preserve">  1133 在製品</t>
  </si>
  <si>
    <t xml:space="preserve">  21953 代收款-扣繳稅款</t>
  </si>
  <si>
    <t xml:space="preserve">  1134 原料</t>
  </si>
  <si>
    <t xml:space="preserve">  2196 其他流動負債-其他</t>
  </si>
  <si>
    <t xml:space="preserve">  1135 物料</t>
  </si>
  <si>
    <t xml:space="preserve">  2210 應付公司債</t>
  </si>
  <si>
    <t xml:space="preserve">  1136 寄銷品</t>
  </si>
  <si>
    <t xml:space="preserve">  2220 長期借款</t>
  </si>
  <si>
    <t xml:space="preserve">  1138 其他存貨</t>
  </si>
  <si>
    <t xml:space="preserve">  2230 透過損益按公允價值衡量之金融負債-非流動</t>
  </si>
  <si>
    <t xml:space="preserve">  1137 備抵存貨跌價損失</t>
  </si>
  <si>
    <t xml:space="preserve">  2240 避險之金融負債-非流動</t>
  </si>
  <si>
    <t xml:space="preserve">  1141 預付費用</t>
  </si>
  <si>
    <t xml:space="preserve">  2260 特別股負債-非流動</t>
  </si>
  <si>
    <t xml:space="preserve">  1142 用品盤存</t>
  </si>
  <si>
    <t xml:space="preserve">  2270 其他金融負債-非流動</t>
  </si>
  <si>
    <t xml:space="preserve">  1143 預付貨款</t>
  </si>
  <si>
    <t xml:space="preserve">  2280 長期應付票據及款項</t>
  </si>
  <si>
    <t xml:space="preserve">  1144 進項稅額</t>
  </si>
  <si>
    <t xml:space="preserve">  2281 合約負債-非流動</t>
  </si>
  <si>
    <t xml:space="preserve">  1145 留抵稅額</t>
  </si>
  <si>
    <t xml:space="preserve">  2290 其他長期負債</t>
  </si>
  <si>
    <t xml:space="preserve">  1149 其他預付款</t>
  </si>
  <si>
    <t>流動負債合計</t>
  </si>
  <si>
    <t xml:space="preserve">  1191 暫付款</t>
  </si>
  <si>
    <t xml:space="preserve">  1192 股東往來</t>
  </si>
  <si>
    <t xml:space="preserve">  2910 存入保證金</t>
  </si>
  <si>
    <t xml:space="preserve">  1193 同業往來</t>
  </si>
  <si>
    <t xml:space="preserve">  2940 退休金準備</t>
  </si>
  <si>
    <t xml:space="preserve">  1199 其他流動資產-其他</t>
  </si>
  <si>
    <t xml:space="preserve">  2951 國外投資損失準備</t>
  </si>
  <si>
    <t xml:space="preserve">  1300 長期性之投資</t>
  </si>
  <si>
    <t xml:space="preserve">  2970 受託承銷品</t>
  </si>
  <si>
    <t>流動資產合計</t>
  </si>
  <si>
    <t xml:space="preserve">  2999 其他非流動負債-其他</t>
  </si>
  <si>
    <t>非流動負債合計</t>
  </si>
  <si>
    <t xml:space="preserve">  1415 減:累計減損-長期性之投資</t>
  </si>
  <si>
    <t xml:space="preserve">  1612 透過損益按公允價值衡量之金融資產-非流動</t>
  </si>
  <si>
    <t xml:space="preserve">  3110 實收資本</t>
  </si>
  <si>
    <t xml:space="preserve">  1615 避險之金融資產-非流動</t>
  </si>
  <si>
    <t xml:space="preserve">  3330 資本公積</t>
  </si>
  <si>
    <t xml:space="preserve">  1621 透過其他綜合損益按公允價值衡量之金融資產-非流動</t>
  </si>
  <si>
    <t xml:space="preserve">  3410 法定盈餘公積</t>
  </si>
  <si>
    <t xml:space="preserve">  1622 按攤銷後成本衡量之金融資產－非流動</t>
  </si>
  <si>
    <t xml:space="preserve">  3420 特別盈餘公積</t>
  </si>
  <si>
    <t xml:space="preserve">  1618 其他金融資產-非流動</t>
  </si>
  <si>
    <t xml:space="preserve">  3430 累積盈虧</t>
  </si>
  <si>
    <t xml:space="preserve">  1630 採用權益法之投資</t>
  </si>
  <si>
    <t xml:space="preserve">  3434 追溯適用及追溯重編之影響數</t>
  </si>
  <si>
    <t xml:space="preserve">  1631 減:累計減損-金融資產-非流動</t>
  </si>
  <si>
    <t xml:space="preserve">  3435 本年度其他綜合損益轉入之稅後淨額</t>
  </si>
  <si>
    <t xml:space="preserve">  1640 合約資產-非流動</t>
  </si>
  <si>
    <t xml:space="preserve">  3440 本期損益　　(結算科目，請勿複製)</t>
  </si>
  <si>
    <t xml:space="preserve">  1641 減:累計減損-合約資產-非流動</t>
  </si>
  <si>
    <t xml:space="preserve">  3502 避險中屬有效避險部分之避險工具損益</t>
  </si>
  <si>
    <t xml:space="preserve">  1410 土地</t>
  </si>
  <si>
    <t xml:space="preserve">  3503 國外營運機構財務報表換算之兌換差額</t>
  </si>
  <si>
    <t xml:space="preserve">  1411 減:累計減損-土地</t>
  </si>
  <si>
    <t xml:space="preserve">  3504 未實現重估增值</t>
  </si>
  <si>
    <t xml:space="preserve">  1431 房屋及建築</t>
  </si>
  <si>
    <t xml:space="preserve">  3505 確定福利計畫再衡量數</t>
  </si>
  <si>
    <t xml:space="preserve">  1432 減:累計折舊-房屋及建築</t>
  </si>
  <si>
    <t xml:space="preserve">  3507 透過其他綜合損益按公允價值衡量之未實現損益</t>
  </si>
  <si>
    <t xml:space="preserve">  1433 減:累計減損-房屋及建築</t>
  </si>
  <si>
    <t xml:space="preserve">  3506 其他權益-其他</t>
  </si>
  <si>
    <t xml:space="preserve">  1441 機器設備</t>
  </si>
  <si>
    <t xml:space="preserve">  3600 減:庫藏股票</t>
  </si>
  <si>
    <t xml:space="preserve">  1442 減:累計折舊-機器設備</t>
  </si>
  <si>
    <t>股東權益合計</t>
  </si>
  <si>
    <t xml:space="preserve">  1443 減:累計減損-機器設備</t>
  </si>
  <si>
    <t>負債及權益總計</t>
  </si>
  <si>
    <t xml:space="preserve">  1451 運輸設備</t>
  </si>
  <si>
    <t>驗證：</t>
  </si>
  <si>
    <t xml:space="preserve">  1453 減:累計減損-運輸設備</t>
  </si>
  <si>
    <t xml:space="preserve">  1461 生財器具</t>
  </si>
  <si>
    <t xml:space="preserve">  1462 減:累計折舊-生財器具</t>
  </si>
  <si>
    <t xml:space="preserve">  1463 減:累計減損-生財器具</t>
  </si>
  <si>
    <t xml:space="preserve">  1470 未完工程及待驗設備</t>
  </si>
  <si>
    <t xml:space="preserve">  1580 預付購置設備款</t>
  </si>
  <si>
    <t xml:space="preserve">  1491 其他固定資產</t>
  </si>
  <si>
    <t xml:space="preserve">  1492 減:累計折舊-其他固定資產</t>
  </si>
  <si>
    <t xml:space="preserve">  1493 減:累計減損-其他固定資產</t>
  </si>
  <si>
    <t xml:space="preserve">  1541 投資性不動產</t>
  </si>
  <si>
    <t xml:space="preserve">  1542 減:累計折舊-投資性不動產</t>
  </si>
  <si>
    <t xml:space="preserve">  1421 礦產資源</t>
  </si>
  <si>
    <t xml:space="preserve">  1422 減:累計折耗-礦產資源</t>
  </si>
  <si>
    <t xml:space="preserve">  1551 生物資產</t>
  </si>
  <si>
    <t xml:space="preserve">  1552 減:累計折舊-生物資產</t>
  </si>
  <si>
    <t xml:space="preserve">  1553 減:累計減損-生物資產</t>
  </si>
  <si>
    <t xml:space="preserve">  1510 無形資產</t>
  </si>
  <si>
    <t xml:space="preserve">  1511 減:累計攤折-無形資產</t>
  </si>
  <si>
    <t xml:space="preserve">  1512 減:累計減損-無形資產</t>
  </si>
  <si>
    <t xml:space="preserve">  1901 存出保證金</t>
  </si>
  <si>
    <t xml:space="preserve">  1902 未攤銷費用</t>
  </si>
  <si>
    <t xml:space="preserve">  1903 預付設備款</t>
  </si>
  <si>
    <t xml:space="preserve">  1904 其他非流動資產-其他</t>
  </si>
  <si>
    <t>非流動資產合計</t>
  </si>
  <si>
    <t>資產總計</t>
  </si>
  <si>
    <t>損益表</t>
  </si>
  <si>
    <t>營業收入</t>
  </si>
  <si>
    <t xml:space="preserve">  4100 銷貨收入</t>
  </si>
  <si>
    <t xml:space="preserve">  4110 減:銷貨退回</t>
  </si>
  <si>
    <t xml:space="preserve">  4120 減:銷貨折讓</t>
  </si>
  <si>
    <t xml:space="preserve">  4200 勞務收入</t>
  </si>
  <si>
    <t xml:space="preserve">  4300 加工收入</t>
  </si>
  <si>
    <t xml:space="preserve">  4400 工程收入</t>
  </si>
  <si>
    <t xml:space="preserve">  5100 銷貨成本</t>
  </si>
  <si>
    <t xml:space="preserve">  5200 勞務成本</t>
  </si>
  <si>
    <t xml:space="preserve">  5300 加工成本</t>
  </si>
  <si>
    <t xml:space="preserve">  5400 工程成本</t>
  </si>
  <si>
    <t>營業毛利</t>
  </si>
  <si>
    <t>營業費用</t>
  </si>
  <si>
    <t xml:space="preserve">  6010 薪資支出</t>
  </si>
  <si>
    <t xml:space="preserve">  6020 租金支出</t>
  </si>
  <si>
    <t xml:space="preserve">  6030 文具用品</t>
  </si>
  <si>
    <t xml:space="preserve">  6040 旅費</t>
  </si>
  <si>
    <t xml:space="preserve">  6050 運費</t>
  </si>
  <si>
    <t xml:space="preserve">  6060 郵電費</t>
  </si>
  <si>
    <t xml:space="preserve">  6070 修繕費</t>
  </si>
  <si>
    <t xml:space="preserve">  6080 廣告費</t>
  </si>
  <si>
    <t xml:space="preserve">  6090 水電瓦斯費</t>
  </si>
  <si>
    <t xml:space="preserve">  6100 保險費</t>
  </si>
  <si>
    <t xml:space="preserve">  6110 交際費</t>
  </si>
  <si>
    <t xml:space="preserve">  6120 捐贈</t>
  </si>
  <si>
    <t xml:space="preserve">  6130 稅捐</t>
  </si>
  <si>
    <t xml:space="preserve">  6140 呆帳損失</t>
  </si>
  <si>
    <t xml:space="preserve">  6150 折舊</t>
  </si>
  <si>
    <t xml:space="preserve">  6160 各項耗竭及攤提</t>
  </si>
  <si>
    <t xml:space="preserve">  6170 外銷損失</t>
  </si>
  <si>
    <t xml:space="preserve">  6180 伙食費</t>
  </si>
  <si>
    <t xml:space="preserve">  6190 職工福利</t>
  </si>
  <si>
    <t xml:space="preserve">  6200 研究費</t>
  </si>
  <si>
    <t xml:space="preserve">  6210 佣金支出</t>
  </si>
  <si>
    <t xml:space="preserve">  6220 訓練費</t>
  </si>
  <si>
    <t xml:space="preserve">  6230 其他費用</t>
  </si>
  <si>
    <t xml:space="preserve">  6240 加班費</t>
  </si>
  <si>
    <t xml:space="preserve">  6250 退休金</t>
  </si>
  <si>
    <t xml:space="preserve">  6260 書報雜誌</t>
  </si>
  <si>
    <t xml:space="preserve">  6270 雜項購置</t>
  </si>
  <si>
    <t xml:space="preserve">  6280 出口費用</t>
  </si>
  <si>
    <t xml:space="preserve">  6290 手續費</t>
  </si>
  <si>
    <t xml:space="preserve">  6300 匯費</t>
  </si>
  <si>
    <t xml:space="preserve">  6310 檢驗費</t>
  </si>
  <si>
    <t xml:space="preserve">  6320 交通費</t>
  </si>
  <si>
    <t xml:space="preserve">  6330 公會費</t>
  </si>
  <si>
    <t xml:space="preserve">  6340 燃料費</t>
  </si>
  <si>
    <t xml:space="preserve">  6350 醫藥費</t>
  </si>
  <si>
    <t xml:space="preserve">  6360 規費</t>
  </si>
  <si>
    <t xml:space="preserve">  6370 包裝費</t>
  </si>
  <si>
    <t xml:space="preserve">  6380 加工費用</t>
  </si>
  <si>
    <t xml:space="preserve">  6390 消耗費</t>
  </si>
  <si>
    <t xml:space="preserve">  6400 勞務費</t>
  </si>
  <si>
    <t xml:space="preserve">  6410 倉租</t>
  </si>
  <si>
    <t xml:space="preserve">  6420 報關費</t>
  </si>
  <si>
    <t xml:space="preserve">  6430 進口運費</t>
  </si>
  <si>
    <t xml:space="preserve">  6440 出口結匯費</t>
  </si>
  <si>
    <t xml:space="preserve">  6450 碼頭工資</t>
  </si>
  <si>
    <t xml:space="preserve">  6460 服務費</t>
  </si>
  <si>
    <t xml:space="preserve">  6470 清潔費</t>
  </si>
  <si>
    <t xml:space="preserve">  6480 樣品費</t>
  </si>
  <si>
    <t xml:space="preserve">  6490 稿費</t>
  </si>
  <si>
    <t xml:space="preserve">  6500 排印費</t>
  </si>
  <si>
    <t xml:space="preserve">  6510 製版費</t>
  </si>
  <si>
    <t xml:space="preserve">  6520 出版費</t>
  </si>
  <si>
    <t xml:space="preserve">  6530 工具費</t>
  </si>
  <si>
    <t>營業淨利</t>
  </si>
  <si>
    <t>稅前損益</t>
  </si>
  <si>
    <t>所得稅費用</t>
  </si>
  <si>
    <t xml:space="preserve">  9000 所得稅費用(利益)</t>
  </si>
  <si>
    <t xml:space="preserve">  9500 本期其他綜合損益(稅後淨額)</t>
  </si>
  <si>
    <t>稅後損益</t>
  </si>
  <si>
    <t>增值稅（VAT）計算</t>
  </si>
  <si>
    <t>台灣營業稅率：5%</t>
  </si>
  <si>
    <t>進項稅額（科目 1144）</t>
  </si>
  <si>
    <t>應繳增值稅</t>
  </si>
  <si>
    <t>說明：</t>
  </si>
  <si>
    <t>應繳 VAT &gt; 0：需繳稅</t>
  </si>
  <si>
    <t>應繳 VAT &lt; 0：可退稅（負數表示待退）</t>
  </si>
  <si>
    <t>應繳 VAT = 0：不需繳退</t>
  </si>
  <si>
    <t>開帳</t>
    <phoneticPr fontId="12" type="noConversion"/>
  </si>
  <si>
    <t>銷項稅額（科目 2134）</t>
  </si>
  <si>
    <t>本期損益　　(結算科目，請勿複製)</t>
    <phoneticPr fontId="12" type="noConversion"/>
  </si>
  <si>
    <t>11-12月營業稅</t>
  </si>
  <si>
    <t>1-2月份</t>
  </si>
  <si>
    <t>1-2月份營業稅</t>
  </si>
  <si>
    <t>3-4月</t>
  </si>
  <si>
    <t>5-6月</t>
  </si>
  <si>
    <t>7-8月</t>
  </si>
  <si>
    <t>9-10月</t>
    <phoneticPr fontId="12" type="noConversion"/>
  </si>
  <si>
    <t>11-12月</t>
    <phoneticPr fontId="12" type="noConversion"/>
  </si>
  <si>
    <t>1-12月</t>
    <phoneticPr fontId="12" type="noConversion"/>
  </si>
  <si>
    <t>薪資費用</t>
    <phoneticPr fontId="12" type="noConversion"/>
  </si>
  <si>
    <t>1-12月健保費用</t>
    <phoneticPr fontId="12" type="noConversion"/>
  </si>
  <si>
    <t>泰瑞莎法迪有限公司</t>
    <phoneticPr fontId="12" type="noConversion"/>
  </si>
  <si>
    <t>截至 2025年12月31日</t>
    <phoneticPr fontId="12" type="noConversion"/>
  </si>
  <si>
    <t>自 2025/1/172025/12/31 起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</si>
</sst>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新細明體"/>
      <family val="2"/>
      <scheme val="minor"/>
    </font>
    <font>
      <b/>
      <sz val="16"/>
      <color rgb="FFFFFFFF"/>
      <name val="新細明體"/>
      <family val="1"/>
      <charset val="136"/>
    </font>
    <font>
      <b/>
      <sz val="12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color rgb="FF008000"/>
      <name val="新細明體"/>
      <family val="1"/>
      <charset val="136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b/>
      <sz val="11"/>
      <name val="新細明體"/>
      <family val="1"/>
      <charset val="136"/>
    </font>
    <font>
      <sz val="9"/>
      <name val="新細明體"/>
      <family val="1"/>
      <charset val="136"/>
    </font>
    <font>
      <b/>
      <sz val="10"/>
      <name val="新細明體"/>
      <family val="1"/>
      <charset val="136"/>
    </font>
    <font>
      <b/>
      <sz val="10"/>
      <color rgb="FF008000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C0C0C0"/>
        <bgColor rgb="FFC0C0C0"/>
      </patternFill>
    </fill>
    <fill>
      <patternFill patternType="solid">
        <fgColor rgb="FFD3D3D3"/>
        <bgColor rgb="FFD3D3D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4" fillId="3" borderId="0" xfId="0" applyFont="1" applyFill="1"/>
    <xf numFmtId="3" fontId="4" fillId="3" borderId="1" xfId="0" applyNumberFormat="1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4" borderId="0" xfId="0" applyFont="1" applyFill="1"/>
    <xf numFmtId="0" fontId="8" fillId="5" borderId="0" xfId="0" applyFont="1" applyFill="1"/>
    <xf numFmtId="0" fontId="9" fillId="0" borderId="0" xfId="0" applyFont="1"/>
    <xf numFmtId="3" fontId="9" fillId="0" borderId="0" xfId="0" applyNumberFormat="1" applyFont="1"/>
    <xf numFmtId="0" fontId="10" fillId="0" borderId="0" xfId="0" applyFont="1"/>
    <xf numFmtId="3" fontId="10" fillId="0" borderId="0" xfId="0" applyNumberFormat="1" applyFont="1"/>
    <xf numFmtId="0" fontId="8" fillId="3" borderId="0" xfId="0" applyFont="1" applyFill="1"/>
    <xf numFmtId="3" fontId="8" fillId="3" borderId="0" xfId="0" applyNumberFormat="1" applyFont="1" applyFill="1"/>
    <xf numFmtId="3" fontId="11" fillId="0" borderId="0" xfId="0" applyNumberFormat="1" applyFont="1"/>
    <xf numFmtId="0" fontId="8" fillId="0" borderId="0" xfId="0" applyFont="1"/>
    <xf numFmtId="3" fontId="8" fillId="0" borderId="0" xfId="0" applyNumberFormat="1" applyFont="1"/>
    <xf numFmtId="3" fontId="4" fillId="0" borderId="0" xfId="0" applyNumberFormat="1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3" fontId="0" fillId="0" borderId="0" xfId="0" applyNumberFormat="1"/>
    <xf numFmtId="3" fontId="0" fillId="6" borderId="1" xfId="0" applyNumberFormat="1" applyFill="1" applyBorder="1" applyAlignment="1">
      <alignment horizontal="right" vertical="center"/>
    </xf>
    <xf numFmtId="0" fontId="0" fillId="6" borderId="0" xfId="0" applyFill="1"/>
    <xf numFmtId="0" fontId="6" fillId="0" borderId="0" xfId="0" applyFont="1" applyAlignment="1">
      <alignment horizontal="center"/>
    </xf>
  </cellXfs>
  <cellStyles count="1">
    <cellStyle name="一般" xfId="0" builtinId="0"/>
  </cellStyles>
  <dxfs count="1">
    <dxf>
      <fill>
        <patternFill>
          <bgColor indexed="2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sqref="A1:D1"/>
    </sheetView>
  </sheetViews>
  <sheetFormatPr defaultRowHeight="15" x14ac:dyDescent="0.3"/>
  <cols>
    <col min="1" max="1" width="60" customWidth="1"/>
  </cols>
  <sheetData>
    <row r="1" spans="1:4" ht="22.2" x14ac:dyDescent="0.3">
      <c r="A1" s="25" t="s">
        <v>0</v>
      </c>
      <c r="B1" s="26"/>
      <c r="C1" s="26"/>
      <c r="D1" s="26"/>
    </row>
    <row r="3" spans="1:4" ht="16.2" x14ac:dyDescent="0.3">
      <c r="A3" s="1" t="s">
        <v>1</v>
      </c>
    </row>
    <row r="4" spans="1:4" ht="19.95" customHeight="1" x14ac:dyDescent="0.3">
      <c r="A4" s="2" t="s">
        <v>2</v>
      </c>
    </row>
    <row r="5" spans="1:4" ht="19.95" customHeight="1" x14ac:dyDescent="0.3">
      <c r="A5" s="2" t="s">
        <v>3</v>
      </c>
    </row>
    <row r="6" spans="1:4" ht="19.95" customHeight="1" x14ac:dyDescent="0.3">
      <c r="A6" s="2" t="s">
        <v>4</v>
      </c>
    </row>
    <row r="7" spans="1:4" ht="19.95" customHeight="1" x14ac:dyDescent="0.3">
      <c r="A7" s="2" t="s">
        <v>5</v>
      </c>
    </row>
    <row r="8" spans="1:4" ht="19.95" customHeight="1" x14ac:dyDescent="0.3">
      <c r="A8" s="2" t="s">
        <v>6</v>
      </c>
    </row>
    <row r="9" spans="1:4" ht="19.95" customHeight="1" x14ac:dyDescent="0.3">
      <c r="A9" s="2"/>
    </row>
    <row r="10" spans="1:4" ht="19.95" customHeight="1" x14ac:dyDescent="0.3">
      <c r="A10" s="2" t="s">
        <v>7</v>
      </c>
    </row>
    <row r="11" spans="1:4" ht="19.95" customHeight="1" x14ac:dyDescent="0.3">
      <c r="A11" s="2" t="s">
        <v>8</v>
      </c>
    </row>
    <row r="12" spans="1:4" ht="19.95" customHeight="1" x14ac:dyDescent="0.3">
      <c r="A12" s="2" t="s">
        <v>9</v>
      </c>
    </row>
    <row r="13" spans="1:4" ht="19.95" customHeight="1" x14ac:dyDescent="0.3">
      <c r="A13" s="2" t="s">
        <v>10</v>
      </c>
    </row>
    <row r="14" spans="1:4" ht="19.95" customHeight="1" x14ac:dyDescent="0.3">
      <c r="A14" s="2" t="s">
        <v>11</v>
      </c>
    </row>
    <row r="15" spans="1:4" ht="19.95" customHeight="1" x14ac:dyDescent="0.3">
      <c r="A15" s="2" t="s">
        <v>12</v>
      </c>
    </row>
    <row r="16" spans="1:4" ht="19.95" customHeight="1" x14ac:dyDescent="0.3">
      <c r="A16" s="2" t="s">
        <v>13</v>
      </c>
    </row>
    <row r="17" spans="1:1" ht="19.95" customHeight="1" x14ac:dyDescent="0.3">
      <c r="A17" s="2"/>
    </row>
    <row r="18" spans="1:1" ht="19.95" customHeight="1" x14ac:dyDescent="0.3">
      <c r="A18" s="2" t="s">
        <v>14</v>
      </c>
    </row>
  </sheetData>
  <mergeCells count="1">
    <mergeCell ref="A1:D1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5"/>
  <sheetViews>
    <sheetView topLeftCell="A217" workbookViewId="0">
      <selection activeCell="G70" sqref="G70"/>
    </sheetView>
  </sheetViews>
  <sheetFormatPr defaultRowHeight="15" x14ac:dyDescent="0.3"/>
  <cols>
    <col min="1" max="1" width="12" customWidth="1"/>
    <col min="2" max="2" width="30" customWidth="1"/>
    <col min="3" max="3" width="8" customWidth="1"/>
    <col min="4" max="5" width="15" customWidth="1"/>
  </cols>
  <sheetData>
    <row r="1" spans="1:5" x14ac:dyDescent="0.3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</row>
    <row r="2" spans="1:5" x14ac:dyDescent="0.3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</row>
    <row r="3" spans="1:5" x14ac:dyDescent="0.3">
      <c r="A3" s="4" t="s">
        <v>25</v>
      </c>
      <c r="B3" s="4" t="s">
        <v>26</v>
      </c>
      <c r="C3" s="4" t="s">
        <v>22</v>
      </c>
      <c r="D3" s="4" t="s">
        <v>23</v>
      </c>
      <c r="E3" s="4" t="s">
        <v>24</v>
      </c>
    </row>
    <row r="4" spans="1:5" x14ac:dyDescent="0.3">
      <c r="A4" s="4" t="s">
        <v>27</v>
      </c>
      <c r="B4" s="4" t="s">
        <v>28</v>
      </c>
      <c r="C4" s="4" t="s">
        <v>22</v>
      </c>
      <c r="D4" s="4" t="s">
        <v>23</v>
      </c>
      <c r="E4" s="4" t="s">
        <v>24</v>
      </c>
    </row>
    <row r="5" spans="1:5" x14ac:dyDescent="0.3">
      <c r="A5" s="4" t="s">
        <v>29</v>
      </c>
      <c r="B5" s="4" t="s">
        <v>30</v>
      </c>
      <c r="C5" s="4" t="s">
        <v>22</v>
      </c>
      <c r="D5" s="4" t="s">
        <v>23</v>
      </c>
      <c r="E5" s="4" t="s">
        <v>24</v>
      </c>
    </row>
    <row r="6" spans="1:5" x14ac:dyDescent="0.3">
      <c r="A6" s="4" t="s">
        <v>31</v>
      </c>
      <c r="B6" s="4" t="s">
        <v>32</v>
      </c>
      <c r="C6" s="4" t="s">
        <v>22</v>
      </c>
      <c r="D6" s="4" t="s">
        <v>23</v>
      </c>
      <c r="E6" s="4" t="s">
        <v>24</v>
      </c>
    </row>
    <row r="7" spans="1:5" x14ac:dyDescent="0.3">
      <c r="A7" s="4" t="s">
        <v>33</v>
      </c>
      <c r="B7" s="4" t="s">
        <v>34</v>
      </c>
      <c r="C7" s="4" t="s">
        <v>22</v>
      </c>
      <c r="D7" s="4" t="s">
        <v>23</v>
      </c>
      <c r="E7" s="4" t="s">
        <v>24</v>
      </c>
    </row>
    <row r="8" spans="1:5" x14ac:dyDescent="0.3">
      <c r="A8" s="4" t="s">
        <v>35</v>
      </c>
      <c r="B8" s="4" t="s">
        <v>36</v>
      </c>
      <c r="C8" s="4" t="s">
        <v>22</v>
      </c>
      <c r="D8" s="4" t="s">
        <v>23</v>
      </c>
      <c r="E8" s="4" t="s">
        <v>24</v>
      </c>
    </row>
    <row r="9" spans="1:5" x14ac:dyDescent="0.3">
      <c r="A9" s="4" t="s">
        <v>37</v>
      </c>
      <c r="B9" s="4" t="s">
        <v>38</v>
      </c>
      <c r="C9" s="4" t="s">
        <v>22</v>
      </c>
      <c r="D9" s="4" t="s">
        <v>23</v>
      </c>
      <c r="E9" s="4" t="s">
        <v>24</v>
      </c>
    </row>
    <row r="10" spans="1:5" x14ac:dyDescent="0.3">
      <c r="A10" s="4" t="s">
        <v>39</v>
      </c>
      <c r="B10" s="4" t="s">
        <v>40</v>
      </c>
      <c r="C10" s="4" t="s">
        <v>22</v>
      </c>
      <c r="D10" s="4" t="s">
        <v>23</v>
      </c>
      <c r="E10" s="4" t="s">
        <v>24</v>
      </c>
    </row>
    <row r="11" spans="1:5" x14ac:dyDescent="0.3">
      <c r="A11" s="4" t="s">
        <v>41</v>
      </c>
      <c r="B11" s="4" t="s">
        <v>42</v>
      </c>
      <c r="C11" s="4" t="s">
        <v>22</v>
      </c>
      <c r="D11" s="4" t="s">
        <v>23</v>
      </c>
      <c r="E11" s="4" t="s">
        <v>24</v>
      </c>
    </row>
    <row r="12" spans="1:5" x14ac:dyDescent="0.3">
      <c r="A12" s="4" t="s">
        <v>43</v>
      </c>
      <c r="B12" s="4" t="s">
        <v>44</v>
      </c>
      <c r="C12" s="4" t="s">
        <v>22</v>
      </c>
      <c r="D12" s="4" t="s">
        <v>23</v>
      </c>
      <c r="E12" s="4" t="s">
        <v>24</v>
      </c>
    </row>
    <row r="13" spans="1:5" x14ac:dyDescent="0.3">
      <c r="A13" s="4" t="s">
        <v>45</v>
      </c>
      <c r="B13" s="4" t="s">
        <v>46</v>
      </c>
      <c r="C13" s="4" t="s">
        <v>22</v>
      </c>
      <c r="D13" s="4" t="s">
        <v>23</v>
      </c>
      <c r="E13" s="4" t="s">
        <v>24</v>
      </c>
    </row>
    <row r="14" spans="1:5" x14ac:dyDescent="0.3">
      <c r="A14" s="4" t="s">
        <v>47</v>
      </c>
      <c r="B14" s="4" t="s">
        <v>48</v>
      </c>
      <c r="C14" s="4" t="s">
        <v>22</v>
      </c>
      <c r="D14" s="4" t="s">
        <v>23</v>
      </c>
      <c r="E14" s="4" t="s">
        <v>24</v>
      </c>
    </row>
    <row r="15" spans="1:5" x14ac:dyDescent="0.3">
      <c r="A15" s="4" t="s">
        <v>49</v>
      </c>
      <c r="B15" s="4" t="s">
        <v>50</v>
      </c>
      <c r="C15" s="4" t="s">
        <v>51</v>
      </c>
      <c r="D15" s="4" t="s">
        <v>23</v>
      </c>
      <c r="E15" s="4" t="s">
        <v>24</v>
      </c>
    </row>
    <row r="16" spans="1:5" x14ac:dyDescent="0.3">
      <c r="A16" s="4" t="s">
        <v>52</v>
      </c>
      <c r="B16" s="4" t="s">
        <v>53</v>
      </c>
      <c r="C16" s="4" t="s">
        <v>22</v>
      </c>
      <c r="D16" s="4" t="s">
        <v>23</v>
      </c>
      <c r="E16" s="4" t="s">
        <v>24</v>
      </c>
    </row>
    <row r="17" spans="1:5" x14ac:dyDescent="0.3">
      <c r="A17" s="4" t="s">
        <v>54</v>
      </c>
      <c r="B17" s="4" t="s">
        <v>55</v>
      </c>
      <c r="C17" s="4" t="s">
        <v>51</v>
      </c>
      <c r="D17" s="4" t="s">
        <v>23</v>
      </c>
      <c r="E17" s="4" t="s">
        <v>24</v>
      </c>
    </row>
    <row r="18" spans="1:5" x14ac:dyDescent="0.3">
      <c r="A18" s="4" t="s">
        <v>56</v>
      </c>
      <c r="B18" s="4" t="s">
        <v>57</v>
      </c>
      <c r="C18" s="4" t="s">
        <v>22</v>
      </c>
      <c r="D18" s="4" t="s">
        <v>23</v>
      </c>
      <c r="E18" s="4" t="s">
        <v>24</v>
      </c>
    </row>
    <row r="19" spans="1:5" x14ac:dyDescent="0.3">
      <c r="A19" s="4" t="s">
        <v>58</v>
      </c>
      <c r="B19" s="4" t="s">
        <v>59</v>
      </c>
      <c r="C19" s="4" t="s">
        <v>51</v>
      </c>
      <c r="D19" s="4" t="s">
        <v>23</v>
      </c>
      <c r="E19" s="4" t="s">
        <v>24</v>
      </c>
    </row>
    <row r="20" spans="1:5" x14ac:dyDescent="0.3">
      <c r="A20" s="4" t="s">
        <v>60</v>
      </c>
      <c r="B20" s="4" t="s">
        <v>61</v>
      </c>
      <c r="C20" s="4" t="s">
        <v>22</v>
      </c>
      <c r="D20" s="4" t="s">
        <v>23</v>
      </c>
      <c r="E20" s="4" t="s">
        <v>24</v>
      </c>
    </row>
    <row r="21" spans="1:5" x14ac:dyDescent="0.3">
      <c r="A21" s="4" t="s">
        <v>62</v>
      </c>
      <c r="B21" s="4" t="s">
        <v>63</v>
      </c>
      <c r="C21" s="4" t="s">
        <v>51</v>
      </c>
      <c r="D21" s="4" t="s">
        <v>23</v>
      </c>
      <c r="E21" s="4" t="s">
        <v>24</v>
      </c>
    </row>
    <row r="22" spans="1:5" x14ac:dyDescent="0.3">
      <c r="A22" s="4" t="s">
        <v>64</v>
      </c>
      <c r="B22" s="4" t="s">
        <v>65</v>
      </c>
      <c r="C22" s="4" t="s">
        <v>22</v>
      </c>
      <c r="D22" s="4" t="s">
        <v>23</v>
      </c>
      <c r="E22" s="4" t="s">
        <v>24</v>
      </c>
    </row>
    <row r="23" spans="1:5" x14ac:dyDescent="0.3">
      <c r="A23" s="4" t="s">
        <v>66</v>
      </c>
      <c r="B23" s="4" t="s">
        <v>67</v>
      </c>
      <c r="C23" s="4" t="s">
        <v>22</v>
      </c>
      <c r="D23" s="4" t="s">
        <v>23</v>
      </c>
      <c r="E23" s="4" t="s">
        <v>24</v>
      </c>
    </row>
    <row r="24" spans="1:5" x14ac:dyDescent="0.3">
      <c r="A24" s="4" t="s">
        <v>68</v>
      </c>
      <c r="B24" s="4" t="s">
        <v>69</v>
      </c>
      <c r="C24" s="4" t="s">
        <v>22</v>
      </c>
      <c r="D24" s="4" t="s">
        <v>23</v>
      </c>
      <c r="E24" s="4" t="s">
        <v>24</v>
      </c>
    </row>
    <row r="25" spans="1:5" x14ac:dyDescent="0.3">
      <c r="A25" s="4" t="s">
        <v>70</v>
      </c>
      <c r="B25" s="4" t="s">
        <v>71</v>
      </c>
      <c r="C25" s="4" t="s">
        <v>22</v>
      </c>
      <c r="D25" s="4" t="s">
        <v>23</v>
      </c>
      <c r="E25" s="4" t="s">
        <v>24</v>
      </c>
    </row>
    <row r="26" spans="1:5" x14ac:dyDescent="0.3">
      <c r="A26" s="4" t="s">
        <v>72</v>
      </c>
      <c r="B26" s="4" t="s">
        <v>73</v>
      </c>
      <c r="C26" s="4" t="s">
        <v>22</v>
      </c>
      <c r="D26" s="4" t="s">
        <v>23</v>
      </c>
      <c r="E26" s="4" t="s">
        <v>24</v>
      </c>
    </row>
    <row r="27" spans="1:5" x14ac:dyDescent="0.3">
      <c r="A27" s="4" t="s">
        <v>74</v>
      </c>
      <c r="B27" s="4" t="s">
        <v>75</v>
      </c>
      <c r="C27" s="4" t="s">
        <v>22</v>
      </c>
      <c r="D27" s="4" t="s">
        <v>23</v>
      </c>
      <c r="E27" s="4" t="s">
        <v>24</v>
      </c>
    </row>
    <row r="28" spans="1:5" x14ac:dyDescent="0.3">
      <c r="A28" s="4" t="s">
        <v>76</v>
      </c>
      <c r="B28" s="4" t="s">
        <v>77</v>
      </c>
      <c r="C28" s="4" t="s">
        <v>22</v>
      </c>
      <c r="D28" s="4" t="s">
        <v>23</v>
      </c>
      <c r="E28" s="4" t="s">
        <v>24</v>
      </c>
    </row>
    <row r="29" spans="1:5" x14ac:dyDescent="0.3">
      <c r="A29" s="4" t="s">
        <v>78</v>
      </c>
      <c r="B29" s="4" t="s">
        <v>79</v>
      </c>
      <c r="C29" s="4" t="s">
        <v>22</v>
      </c>
      <c r="D29" s="4" t="s">
        <v>23</v>
      </c>
      <c r="E29" s="4" t="s">
        <v>24</v>
      </c>
    </row>
    <row r="30" spans="1:5" x14ac:dyDescent="0.3">
      <c r="A30" s="4" t="s">
        <v>80</v>
      </c>
      <c r="B30" s="4" t="s">
        <v>81</v>
      </c>
      <c r="C30" s="4" t="s">
        <v>51</v>
      </c>
      <c r="D30" s="4" t="s">
        <v>23</v>
      </c>
      <c r="E30" s="4" t="s">
        <v>24</v>
      </c>
    </row>
    <row r="31" spans="1:5" x14ac:dyDescent="0.3">
      <c r="A31" s="4" t="s">
        <v>82</v>
      </c>
      <c r="B31" s="4" t="s">
        <v>83</v>
      </c>
      <c r="C31" s="4" t="s">
        <v>22</v>
      </c>
      <c r="D31" s="4" t="s">
        <v>23</v>
      </c>
      <c r="E31" s="4" t="s">
        <v>24</v>
      </c>
    </row>
    <row r="32" spans="1:5" x14ac:dyDescent="0.3">
      <c r="A32" s="4" t="s">
        <v>84</v>
      </c>
      <c r="B32" s="4" t="s">
        <v>85</v>
      </c>
      <c r="C32" s="4" t="s">
        <v>22</v>
      </c>
      <c r="D32" s="4" t="s">
        <v>23</v>
      </c>
      <c r="E32" s="4" t="s">
        <v>24</v>
      </c>
    </row>
    <row r="33" spans="1:5" x14ac:dyDescent="0.3">
      <c r="A33" s="4" t="s">
        <v>86</v>
      </c>
      <c r="B33" s="4" t="s">
        <v>87</v>
      </c>
      <c r="C33" s="4" t="s">
        <v>22</v>
      </c>
      <c r="D33" s="4" t="s">
        <v>23</v>
      </c>
      <c r="E33" s="4" t="s">
        <v>24</v>
      </c>
    </row>
    <row r="34" spans="1:5" x14ac:dyDescent="0.3">
      <c r="A34" s="4" t="s">
        <v>88</v>
      </c>
      <c r="B34" s="4" t="s">
        <v>89</v>
      </c>
      <c r="C34" s="4" t="s">
        <v>22</v>
      </c>
      <c r="D34" s="4" t="s">
        <v>23</v>
      </c>
      <c r="E34" s="4" t="s">
        <v>24</v>
      </c>
    </row>
    <row r="35" spans="1:5" x14ac:dyDescent="0.3">
      <c r="A35" s="4" t="s">
        <v>90</v>
      </c>
      <c r="B35" s="4" t="s">
        <v>91</v>
      </c>
      <c r="C35" s="4" t="s">
        <v>22</v>
      </c>
      <c r="D35" s="4" t="s">
        <v>23</v>
      </c>
      <c r="E35" s="4" t="s">
        <v>24</v>
      </c>
    </row>
    <row r="36" spans="1:5" x14ac:dyDescent="0.3">
      <c r="A36" s="4" t="s">
        <v>92</v>
      </c>
      <c r="B36" s="4" t="s">
        <v>93</v>
      </c>
      <c r="C36" s="4" t="s">
        <v>22</v>
      </c>
      <c r="D36" s="4" t="s">
        <v>23</v>
      </c>
      <c r="E36" s="4" t="s">
        <v>24</v>
      </c>
    </row>
    <row r="37" spans="1:5" x14ac:dyDescent="0.3">
      <c r="A37" s="4" t="s">
        <v>94</v>
      </c>
      <c r="B37" s="4" t="s">
        <v>95</v>
      </c>
      <c r="C37" s="4" t="s">
        <v>22</v>
      </c>
      <c r="D37" s="4" t="s">
        <v>23</v>
      </c>
      <c r="E37" s="4" t="s">
        <v>24</v>
      </c>
    </row>
    <row r="38" spans="1:5" x14ac:dyDescent="0.3">
      <c r="A38" s="4" t="s">
        <v>96</v>
      </c>
      <c r="B38" s="4" t="s">
        <v>97</v>
      </c>
      <c r="C38" s="4" t="s">
        <v>22</v>
      </c>
      <c r="D38" s="4" t="s">
        <v>23</v>
      </c>
      <c r="E38" s="4" t="s">
        <v>24</v>
      </c>
    </row>
    <row r="39" spans="1:5" x14ac:dyDescent="0.3">
      <c r="A39" s="4" t="s">
        <v>98</v>
      </c>
      <c r="B39" s="4" t="s">
        <v>99</v>
      </c>
      <c r="C39" s="4" t="s">
        <v>22</v>
      </c>
      <c r="D39" s="4" t="s">
        <v>23</v>
      </c>
      <c r="E39" s="4" t="s">
        <v>24</v>
      </c>
    </row>
    <row r="40" spans="1:5" x14ac:dyDescent="0.3">
      <c r="A40" s="4" t="s">
        <v>100</v>
      </c>
      <c r="B40" s="4" t="s">
        <v>101</v>
      </c>
      <c r="C40" s="4" t="s">
        <v>22</v>
      </c>
      <c r="D40" s="4" t="s">
        <v>23</v>
      </c>
      <c r="E40" s="4" t="s">
        <v>24</v>
      </c>
    </row>
    <row r="41" spans="1:5" x14ac:dyDescent="0.3">
      <c r="A41" s="4" t="s">
        <v>102</v>
      </c>
      <c r="B41" s="4" t="s">
        <v>103</v>
      </c>
      <c r="C41" s="4" t="s">
        <v>22</v>
      </c>
      <c r="D41" s="4" t="s">
        <v>23</v>
      </c>
      <c r="E41" s="4" t="s">
        <v>24</v>
      </c>
    </row>
    <row r="42" spans="1:5" x14ac:dyDescent="0.3">
      <c r="A42" s="4" t="s">
        <v>104</v>
      </c>
      <c r="B42" s="4" t="s">
        <v>105</v>
      </c>
      <c r="C42" s="4" t="s">
        <v>51</v>
      </c>
      <c r="D42" s="4" t="s">
        <v>23</v>
      </c>
      <c r="E42" s="4" t="s">
        <v>106</v>
      </c>
    </row>
    <row r="43" spans="1:5" x14ac:dyDescent="0.3">
      <c r="A43" s="4" t="s">
        <v>107</v>
      </c>
      <c r="B43" s="4" t="s">
        <v>108</v>
      </c>
      <c r="C43" s="4" t="s">
        <v>22</v>
      </c>
      <c r="D43" s="4" t="s">
        <v>23</v>
      </c>
      <c r="E43" s="4" t="s">
        <v>106</v>
      </c>
    </row>
    <row r="44" spans="1:5" x14ac:dyDescent="0.3">
      <c r="A44" s="4" t="s">
        <v>109</v>
      </c>
      <c r="B44" s="4" t="s">
        <v>110</v>
      </c>
      <c r="C44" s="4" t="s">
        <v>22</v>
      </c>
      <c r="D44" s="4" t="s">
        <v>23</v>
      </c>
      <c r="E44" s="4" t="s">
        <v>106</v>
      </c>
    </row>
    <row r="45" spans="1:5" x14ac:dyDescent="0.3">
      <c r="A45" s="4" t="s">
        <v>111</v>
      </c>
      <c r="B45" s="4" t="s">
        <v>112</v>
      </c>
      <c r="C45" s="4" t="s">
        <v>22</v>
      </c>
      <c r="D45" s="4" t="s">
        <v>23</v>
      </c>
      <c r="E45" s="4" t="s">
        <v>106</v>
      </c>
    </row>
    <row r="46" spans="1:5" x14ac:dyDescent="0.3">
      <c r="A46" s="4" t="s">
        <v>113</v>
      </c>
      <c r="B46" s="4" t="s">
        <v>114</v>
      </c>
      <c r="C46" s="4" t="s">
        <v>22</v>
      </c>
      <c r="D46" s="4" t="s">
        <v>23</v>
      </c>
      <c r="E46" s="4" t="s">
        <v>106</v>
      </c>
    </row>
    <row r="47" spans="1:5" x14ac:dyDescent="0.3">
      <c r="A47" s="4" t="s">
        <v>115</v>
      </c>
      <c r="B47" s="4" t="s">
        <v>116</v>
      </c>
      <c r="C47" s="4" t="s">
        <v>22</v>
      </c>
      <c r="D47" s="4" t="s">
        <v>23</v>
      </c>
      <c r="E47" s="4" t="s">
        <v>106</v>
      </c>
    </row>
    <row r="48" spans="1:5" x14ac:dyDescent="0.3">
      <c r="A48" s="4" t="s">
        <v>117</v>
      </c>
      <c r="B48" s="4" t="s">
        <v>118</v>
      </c>
      <c r="C48" s="4" t="s">
        <v>22</v>
      </c>
      <c r="D48" s="4" t="s">
        <v>23</v>
      </c>
      <c r="E48" s="4" t="s">
        <v>106</v>
      </c>
    </row>
    <row r="49" spans="1:5" x14ac:dyDescent="0.3">
      <c r="A49" s="4" t="s">
        <v>119</v>
      </c>
      <c r="B49" s="4" t="s">
        <v>120</v>
      </c>
      <c r="C49" s="4" t="s">
        <v>51</v>
      </c>
      <c r="D49" s="4" t="s">
        <v>23</v>
      </c>
      <c r="E49" s="4" t="s">
        <v>106</v>
      </c>
    </row>
    <row r="50" spans="1:5" x14ac:dyDescent="0.3">
      <c r="A50" s="4" t="s">
        <v>121</v>
      </c>
      <c r="B50" s="4" t="s">
        <v>122</v>
      </c>
      <c r="C50" s="4" t="s">
        <v>22</v>
      </c>
      <c r="D50" s="4" t="s">
        <v>23</v>
      </c>
      <c r="E50" s="4" t="s">
        <v>106</v>
      </c>
    </row>
    <row r="51" spans="1:5" x14ac:dyDescent="0.3">
      <c r="A51" s="4" t="s">
        <v>123</v>
      </c>
      <c r="B51" s="4" t="s">
        <v>124</v>
      </c>
      <c r="C51" s="4" t="s">
        <v>51</v>
      </c>
      <c r="D51" s="4" t="s">
        <v>23</v>
      </c>
      <c r="E51" s="4" t="s">
        <v>106</v>
      </c>
    </row>
    <row r="52" spans="1:5" x14ac:dyDescent="0.3">
      <c r="A52" s="4" t="s">
        <v>125</v>
      </c>
      <c r="B52" s="4" t="s">
        <v>126</v>
      </c>
      <c r="C52" s="4" t="s">
        <v>22</v>
      </c>
      <c r="D52" s="4" t="s">
        <v>23</v>
      </c>
      <c r="E52" s="4" t="s">
        <v>106</v>
      </c>
    </row>
    <row r="53" spans="1:5" x14ac:dyDescent="0.3">
      <c r="A53" s="4" t="s">
        <v>127</v>
      </c>
      <c r="B53" s="4" t="s">
        <v>128</v>
      </c>
      <c r="C53" s="4" t="s">
        <v>51</v>
      </c>
      <c r="D53" s="4" t="s">
        <v>23</v>
      </c>
      <c r="E53" s="4" t="s">
        <v>106</v>
      </c>
    </row>
    <row r="54" spans="1:5" x14ac:dyDescent="0.3">
      <c r="A54" s="4" t="s">
        <v>129</v>
      </c>
      <c r="B54" s="4" t="s">
        <v>130</v>
      </c>
      <c r="C54" s="4" t="s">
        <v>22</v>
      </c>
      <c r="D54" s="4" t="s">
        <v>23</v>
      </c>
      <c r="E54" s="4" t="s">
        <v>106</v>
      </c>
    </row>
    <row r="55" spans="1:5" x14ac:dyDescent="0.3">
      <c r="A55" s="4" t="s">
        <v>131</v>
      </c>
      <c r="B55" s="4" t="s">
        <v>132</v>
      </c>
      <c r="C55" s="4" t="s">
        <v>51</v>
      </c>
      <c r="D55" s="4" t="s">
        <v>23</v>
      </c>
      <c r="E55" s="4" t="s">
        <v>106</v>
      </c>
    </row>
    <row r="56" spans="1:5" x14ac:dyDescent="0.3">
      <c r="A56" s="4" t="s">
        <v>133</v>
      </c>
      <c r="B56" s="4" t="s">
        <v>134</v>
      </c>
      <c r="C56" s="4" t="s">
        <v>51</v>
      </c>
      <c r="D56" s="4" t="s">
        <v>23</v>
      </c>
      <c r="E56" s="4" t="s">
        <v>106</v>
      </c>
    </row>
    <row r="57" spans="1:5" x14ac:dyDescent="0.3">
      <c r="A57" s="4" t="s">
        <v>135</v>
      </c>
      <c r="B57" s="4" t="s">
        <v>136</v>
      </c>
      <c r="C57" s="4" t="s">
        <v>22</v>
      </c>
      <c r="D57" s="4" t="s">
        <v>23</v>
      </c>
      <c r="E57" s="4" t="s">
        <v>106</v>
      </c>
    </row>
    <row r="58" spans="1:5" x14ac:dyDescent="0.3">
      <c r="A58" s="4" t="s">
        <v>137</v>
      </c>
      <c r="B58" s="4" t="s">
        <v>138</v>
      </c>
      <c r="C58" s="4" t="s">
        <v>51</v>
      </c>
      <c r="D58" s="4" t="s">
        <v>23</v>
      </c>
      <c r="E58" s="4" t="s">
        <v>106</v>
      </c>
    </row>
    <row r="59" spans="1:5" x14ac:dyDescent="0.3">
      <c r="A59" s="4" t="s">
        <v>139</v>
      </c>
      <c r="B59" s="4" t="s">
        <v>140</v>
      </c>
      <c r="C59" s="4" t="s">
        <v>51</v>
      </c>
      <c r="D59" s="4" t="s">
        <v>23</v>
      </c>
      <c r="E59" s="4" t="s">
        <v>106</v>
      </c>
    </row>
    <row r="60" spans="1:5" x14ac:dyDescent="0.3">
      <c r="A60" s="4" t="s">
        <v>141</v>
      </c>
      <c r="B60" s="4" t="s">
        <v>142</v>
      </c>
      <c r="C60" s="4" t="s">
        <v>22</v>
      </c>
      <c r="D60" s="4" t="s">
        <v>23</v>
      </c>
      <c r="E60" s="4" t="s">
        <v>106</v>
      </c>
    </row>
    <row r="61" spans="1:5" x14ac:dyDescent="0.3">
      <c r="A61" s="4" t="s">
        <v>143</v>
      </c>
      <c r="B61" s="4" t="s">
        <v>144</v>
      </c>
      <c r="C61" s="4" t="s">
        <v>51</v>
      </c>
      <c r="D61" s="4" t="s">
        <v>23</v>
      </c>
      <c r="E61" s="4" t="s">
        <v>106</v>
      </c>
    </row>
    <row r="62" spans="1:5" x14ac:dyDescent="0.3">
      <c r="A62" s="4" t="s">
        <v>145</v>
      </c>
      <c r="B62" s="4" t="s">
        <v>146</v>
      </c>
      <c r="C62" s="4" t="s">
        <v>51</v>
      </c>
      <c r="D62" s="4" t="s">
        <v>23</v>
      </c>
      <c r="E62" s="4" t="s">
        <v>106</v>
      </c>
    </row>
    <row r="63" spans="1:5" x14ac:dyDescent="0.3">
      <c r="A63" s="4" t="s">
        <v>147</v>
      </c>
      <c r="B63" s="4" t="s">
        <v>148</v>
      </c>
      <c r="C63" s="4" t="s">
        <v>22</v>
      </c>
      <c r="D63" s="4" t="s">
        <v>23</v>
      </c>
      <c r="E63" s="4" t="s">
        <v>106</v>
      </c>
    </row>
    <row r="64" spans="1:5" x14ac:dyDescent="0.3">
      <c r="A64" s="4" t="s">
        <v>149</v>
      </c>
      <c r="B64" s="4" t="s">
        <v>150</v>
      </c>
      <c r="C64" s="4" t="s">
        <v>51</v>
      </c>
      <c r="D64" s="4" t="s">
        <v>23</v>
      </c>
      <c r="E64" s="4" t="s">
        <v>106</v>
      </c>
    </row>
    <row r="65" spans="1:5" x14ac:dyDescent="0.3">
      <c r="A65" s="4" t="s">
        <v>151</v>
      </c>
      <c r="B65" s="4" t="s">
        <v>152</v>
      </c>
      <c r="C65" s="4" t="s">
        <v>51</v>
      </c>
      <c r="D65" s="4" t="s">
        <v>23</v>
      </c>
      <c r="E65" s="4" t="s">
        <v>106</v>
      </c>
    </row>
    <row r="66" spans="1:5" x14ac:dyDescent="0.3">
      <c r="A66" s="4" t="s">
        <v>153</v>
      </c>
      <c r="B66" s="4" t="s">
        <v>154</v>
      </c>
      <c r="C66" s="4" t="s">
        <v>22</v>
      </c>
      <c r="D66" s="4" t="s">
        <v>23</v>
      </c>
      <c r="E66" s="4" t="s">
        <v>106</v>
      </c>
    </row>
    <row r="67" spans="1:5" x14ac:dyDescent="0.3">
      <c r="A67" s="4" t="s">
        <v>155</v>
      </c>
      <c r="B67" s="4" t="s">
        <v>156</v>
      </c>
      <c r="C67" s="4" t="s">
        <v>22</v>
      </c>
      <c r="D67" s="4" t="s">
        <v>23</v>
      </c>
      <c r="E67" s="4" t="s">
        <v>106</v>
      </c>
    </row>
    <row r="68" spans="1:5" x14ac:dyDescent="0.3">
      <c r="A68" s="4" t="s">
        <v>157</v>
      </c>
      <c r="B68" s="4" t="s">
        <v>158</v>
      </c>
      <c r="C68" s="4" t="s">
        <v>22</v>
      </c>
      <c r="D68" s="4" t="s">
        <v>23</v>
      </c>
      <c r="E68" s="4" t="s">
        <v>106</v>
      </c>
    </row>
    <row r="69" spans="1:5" x14ac:dyDescent="0.3">
      <c r="A69" s="4" t="s">
        <v>159</v>
      </c>
      <c r="B69" s="4" t="s">
        <v>160</v>
      </c>
      <c r="C69" s="4" t="s">
        <v>51</v>
      </c>
      <c r="D69" s="4" t="s">
        <v>23</v>
      </c>
      <c r="E69" s="4" t="s">
        <v>106</v>
      </c>
    </row>
    <row r="70" spans="1:5" x14ac:dyDescent="0.3">
      <c r="A70" s="4" t="s">
        <v>161</v>
      </c>
      <c r="B70" s="4" t="s">
        <v>162</v>
      </c>
      <c r="C70" s="4" t="s">
        <v>51</v>
      </c>
      <c r="D70" s="4" t="s">
        <v>23</v>
      </c>
      <c r="E70" s="4" t="s">
        <v>106</v>
      </c>
    </row>
    <row r="71" spans="1:5" x14ac:dyDescent="0.3">
      <c r="A71" s="4" t="s">
        <v>163</v>
      </c>
      <c r="B71" s="4" t="s">
        <v>164</v>
      </c>
      <c r="C71" s="4" t="s">
        <v>22</v>
      </c>
      <c r="D71" s="4" t="s">
        <v>23</v>
      </c>
      <c r="E71" s="4" t="s">
        <v>106</v>
      </c>
    </row>
    <row r="72" spans="1:5" x14ac:dyDescent="0.3">
      <c r="A72" s="4" t="s">
        <v>165</v>
      </c>
      <c r="B72" s="4" t="s">
        <v>166</v>
      </c>
      <c r="C72" s="4" t="s">
        <v>51</v>
      </c>
      <c r="D72" s="4" t="s">
        <v>23</v>
      </c>
      <c r="E72" s="4" t="s">
        <v>106</v>
      </c>
    </row>
    <row r="73" spans="1:5" x14ac:dyDescent="0.3">
      <c r="A73" s="4" t="s">
        <v>167</v>
      </c>
      <c r="B73" s="4" t="s">
        <v>168</v>
      </c>
      <c r="C73" s="4" t="s">
        <v>22</v>
      </c>
      <c r="D73" s="4" t="s">
        <v>23</v>
      </c>
      <c r="E73" s="4" t="s">
        <v>106</v>
      </c>
    </row>
    <row r="74" spans="1:5" x14ac:dyDescent="0.3">
      <c r="A74" s="4" t="s">
        <v>169</v>
      </c>
      <c r="B74" s="4" t="s">
        <v>170</v>
      </c>
      <c r="C74" s="4" t="s">
        <v>51</v>
      </c>
      <c r="D74" s="4" t="s">
        <v>23</v>
      </c>
      <c r="E74" s="4" t="s">
        <v>106</v>
      </c>
    </row>
    <row r="75" spans="1:5" x14ac:dyDescent="0.3">
      <c r="A75" s="4" t="s">
        <v>171</v>
      </c>
      <c r="B75" s="4" t="s">
        <v>172</v>
      </c>
      <c r="C75" s="4" t="s">
        <v>22</v>
      </c>
      <c r="D75" s="4" t="s">
        <v>23</v>
      </c>
      <c r="E75" s="4" t="s">
        <v>106</v>
      </c>
    </row>
    <row r="76" spans="1:5" x14ac:dyDescent="0.3">
      <c r="A76" s="4" t="s">
        <v>173</v>
      </c>
      <c r="B76" s="4" t="s">
        <v>174</v>
      </c>
      <c r="C76" s="4" t="s">
        <v>51</v>
      </c>
      <c r="D76" s="4" t="s">
        <v>23</v>
      </c>
      <c r="E76" s="4" t="s">
        <v>106</v>
      </c>
    </row>
    <row r="77" spans="1:5" x14ac:dyDescent="0.3">
      <c r="A77" s="4" t="s">
        <v>175</v>
      </c>
      <c r="B77" s="4" t="s">
        <v>176</v>
      </c>
      <c r="C77" s="4" t="s">
        <v>51</v>
      </c>
      <c r="D77" s="4" t="s">
        <v>23</v>
      </c>
      <c r="E77" s="4" t="s">
        <v>106</v>
      </c>
    </row>
    <row r="78" spans="1:5" x14ac:dyDescent="0.3">
      <c r="A78" s="4" t="s">
        <v>177</v>
      </c>
      <c r="B78" s="4" t="s">
        <v>178</v>
      </c>
      <c r="C78" s="4" t="s">
        <v>22</v>
      </c>
      <c r="D78" s="4" t="s">
        <v>23</v>
      </c>
      <c r="E78" s="4" t="s">
        <v>106</v>
      </c>
    </row>
    <row r="79" spans="1:5" x14ac:dyDescent="0.3">
      <c r="A79" s="4" t="s">
        <v>179</v>
      </c>
      <c r="B79" s="4" t="s">
        <v>180</v>
      </c>
      <c r="C79" s="4" t="s">
        <v>51</v>
      </c>
      <c r="D79" s="4" t="s">
        <v>23</v>
      </c>
      <c r="E79" s="4" t="s">
        <v>106</v>
      </c>
    </row>
    <row r="80" spans="1:5" x14ac:dyDescent="0.3">
      <c r="A80" s="4" t="s">
        <v>181</v>
      </c>
      <c r="B80" s="4" t="s">
        <v>182</v>
      </c>
      <c r="C80" s="4" t="s">
        <v>51</v>
      </c>
      <c r="D80" s="4" t="s">
        <v>23</v>
      </c>
      <c r="E80" s="4" t="s">
        <v>106</v>
      </c>
    </row>
    <row r="81" spans="1:5" x14ac:dyDescent="0.3">
      <c r="A81" s="4" t="s">
        <v>183</v>
      </c>
      <c r="B81" s="4" t="s">
        <v>184</v>
      </c>
      <c r="C81" s="4" t="s">
        <v>22</v>
      </c>
      <c r="D81" s="4" t="s">
        <v>23</v>
      </c>
      <c r="E81" s="4" t="s">
        <v>106</v>
      </c>
    </row>
    <row r="82" spans="1:5" x14ac:dyDescent="0.3">
      <c r="A82" s="4" t="s">
        <v>185</v>
      </c>
      <c r="B82" s="4" t="s">
        <v>186</v>
      </c>
      <c r="C82" s="4" t="s">
        <v>22</v>
      </c>
      <c r="D82" s="4" t="s">
        <v>23</v>
      </c>
      <c r="E82" s="4" t="s">
        <v>106</v>
      </c>
    </row>
    <row r="83" spans="1:5" x14ac:dyDescent="0.3">
      <c r="A83" s="4" t="s">
        <v>187</v>
      </c>
      <c r="B83" s="4" t="s">
        <v>188</v>
      </c>
      <c r="C83" s="4" t="s">
        <v>22</v>
      </c>
      <c r="D83" s="4" t="s">
        <v>23</v>
      </c>
      <c r="E83" s="4" t="s">
        <v>106</v>
      </c>
    </row>
    <row r="84" spans="1:5" x14ac:dyDescent="0.3">
      <c r="A84" s="4" t="s">
        <v>189</v>
      </c>
      <c r="B84" s="4" t="s">
        <v>190</v>
      </c>
      <c r="C84" s="4" t="s">
        <v>22</v>
      </c>
      <c r="D84" s="4" t="s">
        <v>23</v>
      </c>
      <c r="E84" s="4" t="s">
        <v>106</v>
      </c>
    </row>
    <row r="85" spans="1:5" x14ac:dyDescent="0.3">
      <c r="A85" s="4" t="s">
        <v>191</v>
      </c>
      <c r="B85" s="4" t="s">
        <v>192</v>
      </c>
      <c r="C85" s="4" t="s">
        <v>51</v>
      </c>
      <c r="D85" s="4" t="s">
        <v>193</v>
      </c>
      <c r="E85" s="4" t="s">
        <v>194</v>
      </c>
    </row>
    <row r="86" spans="1:5" x14ac:dyDescent="0.3">
      <c r="A86" s="4" t="s">
        <v>195</v>
      </c>
      <c r="B86" s="4" t="s">
        <v>196</v>
      </c>
      <c r="C86" s="4" t="s">
        <v>51</v>
      </c>
      <c r="D86" s="4" t="s">
        <v>193</v>
      </c>
      <c r="E86" s="4" t="s">
        <v>194</v>
      </c>
    </row>
    <row r="87" spans="1:5" x14ac:dyDescent="0.3">
      <c r="A87" s="4" t="s">
        <v>197</v>
      </c>
      <c r="B87" s="4" t="s">
        <v>198</v>
      </c>
      <c r="C87" s="4" t="s">
        <v>51</v>
      </c>
      <c r="D87" s="4" t="s">
        <v>193</v>
      </c>
      <c r="E87" s="4" t="s">
        <v>194</v>
      </c>
    </row>
    <row r="88" spans="1:5" x14ac:dyDescent="0.3">
      <c r="A88" s="4" t="s">
        <v>199</v>
      </c>
      <c r="B88" s="4" t="s">
        <v>200</v>
      </c>
      <c r="C88" s="4" t="s">
        <v>51</v>
      </c>
      <c r="D88" s="4" t="s">
        <v>193</v>
      </c>
      <c r="E88" s="4" t="s">
        <v>194</v>
      </c>
    </row>
    <row r="89" spans="1:5" x14ac:dyDescent="0.3">
      <c r="A89" s="4" t="s">
        <v>201</v>
      </c>
      <c r="B89" s="4" t="s">
        <v>202</v>
      </c>
      <c r="C89" s="4" t="s">
        <v>51</v>
      </c>
      <c r="D89" s="4" t="s">
        <v>193</v>
      </c>
      <c r="E89" s="4" t="s">
        <v>194</v>
      </c>
    </row>
    <row r="90" spans="1:5" x14ac:dyDescent="0.3">
      <c r="A90" s="4" t="s">
        <v>203</v>
      </c>
      <c r="B90" s="4" t="s">
        <v>204</v>
      </c>
      <c r="C90" s="4" t="s">
        <v>51</v>
      </c>
      <c r="D90" s="4" t="s">
        <v>193</v>
      </c>
      <c r="E90" s="4" t="s">
        <v>194</v>
      </c>
    </row>
    <row r="91" spans="1:5" x14ac:dyDescent="0.3">
      <c r="A91" s="4" t="s">
        <v>205</v>
      </c>
      <c r="B91" s="4" t="s">
        <v>206</v>
      </c>
      <c r="C91" s="4" t="s">
        <v>51</v>
      </c>
      <c r="D91" s="4" t="s">
        <v>193</v>
      </c>
      <c r="E91" s="4" t="s">
        <v>194</v>
      </c>
    </row>
    <row r="92" spans="1:5" x14ac:dyDescent="0.3">
      <c r="A92" s="4" t="s">
        <v>207</v>
      </c>
      <c r="B92" s="4" t="s">
        <v>208</v>
      </c>
      <c r="C92" s="4" t="s">
        <v>51</v>
      </c>
      <c r="D92" s="4" t="s">
        <v>193</v>
      </c>
      <c r="E92" s="4" t="s">
        <v>194</v>
      </c>
    </row>
    <row r="93" spans="1:5" x14ac:dyDescent="0.3">
      <c r="A93" s="4" t="s">
        <v>209</v>
      </c>
      <c r="B93" s="4" t="s">
        <v>210</v>
      </c>
      <c r="C93" s="4" t="s">
        <v>51</v>
      </c>
      <c r="D93" s="4" t="s">
        <v>193</v>
      </c>
      <c r="E93" s="4" t="s">
        <v>194</v>
      </c>
    </row>
    <row r="94" spans="1:5" x14ac:dyDescent="0.3">
      <c r="A94" s="4" t="s">
        <v>211</v>
      </c>
      <c r="B94" s="4" t="s">
        <v>212</v>
      </c>
      <c r="C94" s="4" t="s">
        <v>51</v>
      </c>
      <c r="D94" s="4" t="s">
        <v>193</v>
      </c>
      <c r="E94" s="4" t="s">
        <v>194</v>
      </c>
    </row>
    <row r="95" spans="1:5" x14ac:dyDescent="0.3">
      <c r="A95" s="4" t="s">
        <v>213</v>
      </c>
      <c r="B95" s="4" t="s">
        <v>214</v>
      </c>
      <c r="C95" s="4" t="s">
        <v>51</v>
      </c>
      <c r="D95" s="4" t="s">
        <v>193</v>
      </c>
      <c r="E95" s="4" t="s">
        <v>194</v>
      </c>
    </row>
    <row r="96" spans="1:5" x14ac:dyDescent="0.3">
      <c r="A96" s="4" t="s">
        <v>215</v>
      </c>
      <c r="B96" s="4" t="s">
        <v>216</v>
      </c>
      <c r="C96" s="4" t="s">
        <v>51</v>
      </c>
      <c r="D96" s="4" t="s">
        <v>193</v>
      </c>
      <c r="E96" s="4" t="s">
        <v>194</v>
      </c>
    </row>
    <row r="97" spans="1:5" x14ac:dyDescent="0.3">
      <c r="A97" s="4" t="s">
        <v>217</v>
      </c>
      <c r="B97" s="4" t="s">
        <v>218</v>
      </c>
      <c r="C97" s="4" t="s">
        <v>51</v>
      </c>
      <c r="D97" s="4" t="s">
        <v>193</v>
      </c>
      <c r="E97" s="4" t="s">
        <v>194</v>
      </c>
    </row>
    <row r="98" spans="1:5" x14ac:dyDescent="0.3">
      <c r="A98" s="4" t="s">
        <v>219</v>
      </c>
      <c r="B98" s="4" t="s">
        <v>220</v>
      </c>
      <c r="C98" s="4" t="s">
        <v>51</v>
      </c>
      <c r="D98" s="4" t="s">
        <v>193</v>
      </c>
      <c r="E98" s="4" t="s">
        <v>194</v>
      </c>
    </row>
    <row r="99" spans="1:5" x14ac:dyDescent="0.3">
      <c r="A99" s="4" t="s">
        <v>221</v>
      </c>
      <c r="B99" s="4" t="s">
        <v>222</v>
      </c>
      <c r="C99" s="4" t="s">
        <v>51</v>
      </c>
      <c r="D99" s="4" t="s">
        <v>193</v>
      </c>
      <c r="E99" s="4" t="s">
        <v>194</v>
      </c>
    </row>
    <row r="100" spans="1:5" x14ac:dyDescent="0.3">
      <c r="A100" s="4" t="s">
        <v>223</v>
      </c>
      <c r="B100" s="4" t="s">
        <v>224</v>
      </c>
      <c r="C100" s="4" t="s">
        <v>51</v>
      </c>
      <c r="D100" s="4" t="s">
        <v>193</v>
      </c>
      <c r="E100" s="4" t="s">
        <v>194</v>
      </c>
    </row>
    <row r="101" spans="1:5" x14ac:dyDescent="0.3">
      <c r="A101" s="4" t="s">
        <v>225</v>
      </c>
      <c r="B101" s="4" t="s">
        <v>226</v>
      </c>
      <c r="C101" s="4" t="s">
        <v>51</v>
      </c>
      <c r="D101" s="4" t="s">
        <v>193</v>
      </c>
      <c r="E101" s="4" t="s">
        <v>194</v>
      </c>
    </row>
    <row r="102" spans="1:5" x14ac:dyDescent="0.3">
      <c r="A102" s="4" t="s">
        <v>227</v>
      </c>
      <c r="B102" s="4" t="s">
        <v>228</v>
      </c>
      <c r="C102" s="4" t="s">
        <v>51</v>
      </c>
      <c r="D102" s="4" t="s">
        <v>193</v>
      </c>
      <c r="E102" s="4" t="s">
        <v>194</v>
      </c>
    </row>
    <row r="103" spans="1:5" x14ac:dyDescent="0.3">
      <c r="A103" s="4" t="s">
        <v>229</v>
      </c>
      <c r="B103" s="4" t="s">
        <v>230</v>
      </c>
      <c r="C103" s="4" t="s">
        <v>51</v>
      </c>
      <c r="D103" s="4" t="s">
        <v>193</v>
      </c>
      <c r="E103" s="4" t="s">
        <v>194</v>
      </c>
    </row>
    <row r="104" spans="1:5" x14ac:dyDescent="0.3">
      <c r="A104" s="4" t="s">
        <v>231</v>
      </c>
      <c r="B104" s="4" t="s">
        <v>97</v>
      </c>
      <c r="C104" s="4" t="s">
        <v>51</v>
      </c>
      <c r="D104" s="4" t="s">
        <v>193</v>
      </c>
      <c r="E104" s="4" t="s">
        <v>194</v>
      </c>
    </row>
    <row r="105" spans="1:5" x14ac:dyDescent="0.3">
      <c r="A105" s="4" t="s">
        <v>232</v>
      </c>
      <c r="B105" s="4" t="s">
        <v>233</v>
      </c>
      <c r="C105" s="4" t="s">
        <v>51</v>
      </c>
      <c r="D105" s="4" t="s">
        <v>193</v>
      </c>
      <c r="E105" s="4" t="s">
        <v>194</v>
      </c>
    </row>
    <row r="106" spans="1:5" x14ac:dyDescent="0.3">
      <c r="A106" s="4" t="s">
        <v>234</v>
      </c>
      <c r="B106" s="4" t="s">
        <v>235</v>
      </c>
      <c r="C106" s="4" t="s">
        <v>51</v>
      </c>
      <c r="D106" s="4" t="s">
        <v>193</v>
      </c>
      <c r="E106" s="4" t="s">
        <v>194</v>
      </c>
    </row>
    <row r="107" spans="1:5" x14ac:dyDescent="0.3">
      <c r="A107" s="4" t="s">
        <v>236</v>
      </c>
      <c r="B107" s="4" t="s">
        <v>237</v>
      </c>
      <c r="C107" s="4" t="s">
        <v>51</v>
      </c>
      <c r="D107" s="4" t="s">
        <v>193</v>
      </c>
      <c r="E107" s="4" t="s">
        <v>194</v>
      </c>
    </row>
    <row r="108" spans="1:5" x14ac:dyDescent="0.3">
      <c r="A108" s="4" t="s">
        <v>238</v>
      </c>
      <c r="B108" s="4" t="s">
        <v>239</v>
      </c>
      <c r="C108" s="4" t="s">
        <v>51</v>
      </c>
      <c r="D108" s="4" t="s">
        <v>193</v>
      </c>
      <c r="E108" s="4" t="s">
        <v>194</v>
      </c>
    </row>
    <row r="109" spans="1:5" x14ac:dyDescent="0.3">
      <c r="A109" s="4" t="s">
        <v>240</v>
      </c>
      <c r="B109" s="4" t="s">
        <v>241</v>
      </c>
      <c r="C109" s="4" t="s">
        <v>51</v>
      </c>
      <c r="D109" s="4" t="s">
        <v>193</v>
      </c>
      <c r="E109" s="4" t="s">
        <v>194</v>
      </c>
    </row>
    <row r="110" spans="1:5" x14ac:dyDescent="0.3">
      <c r="A110" s="4" t="s">
        <v>242</v>
      </c>
      <c r="B110" s="4" t="s">
        <v>243</v>
      </c>
      <c r="C110" s="4" t="s">
        <v>51</v>
      </c>
      <c r="D110" s="4" t="s">
        <v>193</v>
      </c>
      <c r="E110" s="4" t="s">
        <v>194</v>
      </c>
    </row>
    <row r="111" spans="1:5" x14ac:dyDescent="0.3">
      <c r="A111" s="4" t="s">
        <v>244</v>
      </c>
      <c r="B111" s="4" t="s">
        <v>245</v>
      </c>
      <c r="C111" s="4" t="s">
        <v>51</v>
      </c>
      <c r="D111" s="4" t="s">
        <v>193</v>
      </c>
      <c r="E111" s="4" t="s">
        <v>194</v>
      </c>
    </row>
    <row r="112" spans="1:5" x14ac:dyDescent="0.3">
      <c r="A112" s="4" t="s">
        <v>246</v>
      </c>
      <c r="B112" s="4" t="s">
        <v>247</v>
      </c>
      <c r="C112" s="4" t="s">
        <v>51</v>
      </c>
      <c r="D112" s="4" t="s">
        <v>193</v>
      </c>
      <c r="E112" s="4" t="s">
        <v>194</v>
      </c>
    </row>
    <row r="113" spans="1:5" x14ac:dyDescent="0.3">
      <c r="A113" s="4" t="s">
        <v>248</v>
      </c>
      <c r="B113" s="4" t="s">
        <v>249</v>
      </c>
      <c r="C113" s="4" t="s">
        <v>51</v>
      </c>
      <c r="D113" s="4" t="s">
        <v>193</v>
      </c>
      <c r="E113" s="4" t="s">
        <v>194</v>
      </c>
    </row>
    <row r="114" spans="1:5" x14ac:dyDescent="0.3">
      <c r="A114" s="4" t="s">
        <v>250</v>
      </c>
      <c r="B114" s="4" t="s">
        <v>251</v>
      </c>
      <c r="C114" s="4" t="s">
        <v>51</v>
      </c>
      <c r="D114" s="4" t="s">
        <v>193</v>
      </c>
      <c r="E114" s="4" t="s">
        <v>194</v>
      </c>
    </row>
    <row r="115" spans="1:5" x14ac:dyDescent="0.3">
      <c r="A115" s="4" t="s">
        <v>252</v>
      </c>
      <c r="B115" s="4" t="s">
        <v>253</v>
      </c>
      <c r="C115" s="4" t="s">
        <v>51</v>
      </c>
      <c r="D115" s="4" t="s">
        <v>193</v>
      </c>
      <c r="E115" s="4" t="s">
        <v>194</v>
      </c>
    </row>
    <row r="116" spans="1:5" x14ac:dyDescent="0.3">
      <c r="A116" s="4" t="s">
        <v>254</v>
      </c>
      <c r="B116" s="4" t="s">
        <v>255</v>
      </c>
      <c r="C116" s="4" t="s">
        <v>51</v>
      </c>
      <c r="D116" s="4" t="s">
        <v>193</v>
      </c>
      <c r="E116" s="4" t="s">
        <v>194</v>
      </c>
    </row>
    <row r="117" spans="1:5" x14ac:dyDescent="0.3">
      <c r="A117" s="4" t="s">
        <v>256</v>
      </c>
      <c r="B117" s="4" t="s">
        <v>257</v>
      </c>
      <c r="C117" s="4" t="s">
        <v>51</v>
      </c>
      <c r="D117" s="4" t="s">
        <v>193</v>
      </c>
      <c r="E117" s="4" t="s">
        <v>194</v>
      </c>
    </row>
    <row r="118" spans="1:5" x14ac:dyDescent="0.3">
      <c r="A118" s="4" t="s">
        <v>258</v>
      </c>
      <c r="B118" s="4" t="s">
        <v>259</v>
      </c>
      <c r="C118" s="4" t="s">
        <v>51</v>
      </c>
      <c r="D118" s="4" t="s">
        <v>193</v>
      </c>
      <c r="E118" s="4" t="s">
        <v>194</v>
      </c>
    </row>
    <row r="119" spans="1:5" x14ac:dyDescent="0.3">
      <c r="A119" s="4" t="s">
        <v>260</v>
      </c>
      <c r="B119" s="4" t="s">
        <v>261</v>
      </c>
      <c r="C119" s="4" t="s">
        <v>51</v>
      </c>
      <c r="D119" s="4" t="s">
        <v>193</v>
      </c>
      <c r="E119" s="4" t="s">
        <v>262</v>
      </c>
    </row>
    <row r="120" spans="1:5" x14ac:dyDescent="0.3">
      <c r="A120" s="4" t="s">
        <v>263</v>
      </c>
      <c r="B120" s="4" t="s">
        <v>264</v>
      </c>
      <c r="C120" s="4" t="s">
        <v>51</v>
      </c>
      <c r="D120" s="4" t="s">
        <v>193</v>
      </c>
      <c r="E120" s="4" t="s">
        <v>262</v>
      </c>
    </row>
    <row r="121" spans="1:5" x14ac:dyDescent="0.3">
      <c r="A121" s="4" t="s">
        <v>265</v>
      </c>
      <c r="B121" s="4" t="s">
        <v>266</v>
      </c>
      <c r="C121" s="4" t="s">
        <v>51</v>
      </c>
      <c r="D121" s="4" t="s">
        <v>193</v>
      </c>
      <c r="E121" s="4" t="s">
        <v>262</v>
      </c>
    </row>
    <row r="122" spans="1:5" x14ac:dyDescent="0.3">
      <c r="A122" s="4" t="s">
        <v>267</v>
      </c>
      <c r="B122" s="4" t="s">
        <v>268</v>
      </c>
      <c r="C122" s="4" t="s">
        <v>51</v>
      </c>
      <c r="D122" s="4" t="s">
        <v>193</v>
      </c>
      <c r="E122" s="4" t="s">
        <v>262</v>
      </c>
    </row>
    <row r="123" spans="1:5" x14ac:dyDescent="0.3">
      <c r="A123" s="4" t="s">
        <v>269</v>
      </c>
      <c r="B123" s="4" t="s">
        <v>270</v>
      </c>
      <c r="C123" s="4" t="s">
        <v>51</v>
      </c>
      <c r="D123" s="4" t="s">
        <v>193</v>
      </c>
      <c r="E123" s="4" t="s">
        <v>262</v>
      </c>
    </row>
    <row r="124" spans="1:5" x14ac:dyDescent="0.3">
      <c r="A124" s="4" t="s">
        <v>271</v>
      </c>
      <c r="B124" s="4" t="s">
        <v>272</v>
      </c>
      <c r="C124" s="4" t="s">
        <v>51</v>
      </c>
      <c r="D124" s="4" t="s">
        <v>273</v>
      </c>
      <c r="E124" s="4" t="s">
        <v>274</v>
      </c>
    </row>
    <row r="125" spans="1:5" x14ac:dyDescent="0.3">
      <c r="A125" s="4" t="s">
        <v>275</v>
      </c>
      <c r="B125" s="4" t="s">
        <v>276</v>
      </c>
      <c r="C125" s="4" t="s">
        <v>51</v>
      </c>
      <c r="D125" s="4" t="s">
        <v>273</v>
      </c>
      <c r="E125" s="4" t="s">
        <v>274</v>
      </c>
    </row>
    <row r="126" spans="1:5" x14ac:dyDescent="0.3">
      <c r="A126" s="4" t="s">
        <v>277</v>
      </c>
      <c r="B126" s="4" t="s">
        <v>278</v>
      </c>
      <c r="C126" s="4" t="s">
        <v>51</v>
      </c>
      <c r="D126" s="4" t="s">
        <v>273</v>
      </c>
      <c r="E126" s="4" t="s">
        <v>274</v>
      </c>
    </row>
    <row r="127" spans="1:5" x14ac:dyDescent="0.3">
      <c r="A127" s="4" t="s">
        <v>279</v>
      </c>
      <c r="B127" s="4" t="s">
        <v>280</v>
      </c>
      <c r="C127" s="4" t="s">
        <v>51</v>
      </c>
      <c r="D127" s="4" t="s">
        <v>273</v>
      </c>
      <c r="E127" s="4" t="s">
        <v>274</v>
      </c>
    </row>
    <row r="128" spans="1:5" x14ac:dyDescent="0.3">
      <c r="A128" s="4" t="s">
        <v>281</v>
      </c>
      <c r="B128" s="4" t="s">
        <v>282</v>
      </c>
      <c r="C128" s="4" t="s">
        <v>51</v>
      </c>
      <c r="D128" s="4" t="s">
        <v>273</v>
      </c>
      <c r="E128" s="4" t="s">
        <v>274</v>
      </c>
    </row>
    <row r="129" spans="1:5" x14ac:dyDescent="0.3">
      <c r="A129" s="4" t="s">
        <v>283</v>
      </c>
      <c r="B129" s="4" t="s">
        <v>284</v>
      </c>
      <c r="C129" s="4" t="s">
        <v>51</v>
      </c>
      <c r="D129" s="4" t="s">
        <v>273</v>
      </c>
      <c r="E129" s="4" t="s">
        <v>274</v>
      </c>
    </row>
    <row r="130" spans="1:5" x14ac:dyDescent="0.3">
      <c r="A130" s="4" t="s">
        <v>285</v>
      </c>
      <c r="B130" s="4" t="s">
        <v>286</v>
      </c>
      <c r="C130" s="4" t="s">
        <v>51</v>
      </c>
      <c r="D130" s="4" t="s">
        <v>273</v>
      </c>
      <c r="E130" s="4" t="s">
        <v>274</v>
      </c>
    </row>
    <row r="131" spans="1:5" x14ac:dyDescent="0.3">
      <c r="A131" s="4" t="s">
        <v>287</v>
      </c>
      <c r="B131" s="4" t="s">
        <v>288</v>
      </c>
      <c r="C131" s="4" t="s">
        <v>51</v>
      </c>
      <c r="D131" s="4" t="s">
        <v>273</v>
      </c>
      <c r="E131" s="4" t="s">
        <v>274</v>
      </c>
    </row>
    <row r="132" spans="1:5" x14ac:dyDescent="0.3">
      <c r="A132" s="4" t="s">
        <v>289</v>
      </c>
      <c r="B132" s="4" t="s">
        <v>290</v>
      </c>
      <c r="C132" s="4" t="s">
        <v>51</v>
      </c>
      <c r="D132" s="4" t="s">
        <v>273</v>
      </c>
      <c r="E132" s="4" t="s">
        <v>274</v>
      </c>
    </row>
    <row r="133" spans="1:5" x14ac:dyDescent="0.3">
      <c r="A133" s="4" t="s">
        <v>291</v>
      </c>
      <c r="B133" s="4" t="s">
        <v>292</v>
      </c>
      <c r="C133" s="4" t="s">
        <v>51</v>
      </c>
      <c r="D133" s="4" t="s">
        <v>273</v>
      </c>
      <c r="E133" s="4" t="s">
        <v>274</v>
      </c>
    </row>
    <row r="134" spans="1:5" x14ac:dyDescent="0.3">
      <c r="A134" s="4" t="s">
        <v>293</v>
      </c>
      <c r="B134" s="4" t="s">
        <v>294</v>
      </c>
      <c r="C134" s="4" t="s">
        <v>51</v>
      </c>
      <c r="D134" s="4" t="s">
        <v>273</v>
      </c>
      <c r="E134" s="4" t="s">
        <v>274</v>
      </c>
    </row>
    <row r="135" spans="1:5" x14ac:dyDescent="0.3">
      <c r="A135" s="4" t="s">
        <v>295</v>
      </c>
      <c r="B135" s="4" t="s">
        <v>296</v>
      </c>
      <c r="C135" s="4" t="s">
        <v>51</v>
      </c>
      <c r="D135" s="4" t="s">
        <v>273</v>
      </c>
      <c r="E135" s="4" t="s">
        <v>274</v>
      </c>
    </row>
    <row r="136" spans="1:5" x14ac:dyDescent="0.3">
      <c r="A136" s="4" t="s">
        <v>297</v>
      </c>
      <c r="B136" s="4" t="s">
        <v>298</v>
      </c>
      <c r="C136" s="4" t="s">
        <v>51</v>
      </c>
      <c r="D136" s="4" t="s">
        <v>273</v>
      </c>
      <c r="E136" s="4" t="s">
        <v>274</v>
      </c>
    </row>
    <row r="137" spans="1:5" x14ac:dyDescent="0.3">
      <c r="A137" s="4" t="s">
        <v>299</v>
      </c>
      <c r="B137" s="4" t="s">
        <v>300</v>
      </c>
      <c r="C137" s="4" t="s">
        <v>51</v>
      </c>
      <c r="D137" s="4" t="s">
        <v>273</v>
      </c>
      <c r="E137" s="4" t="s">
        <v>274</v>
      </c>
    </row>
    <row r="138" spans="1:5" x14ac:dyDescent="0.3">
      <c r="A138" s="4" t="s">
        <v>301</v>
      </c>
      <c r="B138" s="4" t="s">
        <v>302</v>
      </c>
      <c r="C138" s="4" t="s">
        <v>22</v>
      </c>
      <c r="D138" s="4" t="s">
        <v>273</v>
      </c>
      <c r="E138" s="4" t="s">
        <v>274</v>
      </c>
    </row>
    <row r="139" spans="1:5" x14ac:dyDescent="0.3">
      <c r="A139" s="4" t="s">
        <v>303</v>
      </c>
      <c r="B139" s="4" t="s">
        <v>304</v>
      </c>
      <c r="C139" s="4" t="s">
        <v>51</v>
      </c>
      <c r="D139" s="4" t="s">
        <v>305</v>
      </c>
      <c r="E139" s="4"/>
    </row>
    <row r="140" spans="1:5" x14ac:dyDescent="0.3">
      <c r="A140" s="4" t="s">
        <v>306</v>
      </c>
      <c r="B140" s="4" t="s">
        <v>307</v>
      </c>
      <c r="C140" s="4" t="s">
        <v>22</v>
      </c>
      <c r="D140" s="4" t="s">
        <v>305</v>
      </c>
      <c r="E140" s="4"/>
    </row>
    <row r="141" spans="1:5" x14ac:dyDescent="0.3">
      <c r="A141" s="4" t="s">
        <v>308</v>
      </c>
      <c r="B141" s="4" t="s">
        <v>309</v>
      </c>
      <c r="C141" s="4" t="s">
        <v>22</v>
      </c>
      <c r="D141" s="4" t="s">
        <v>305</v>
      </c>
      <c r="E141" s="4"/>
    </row>
    <row r="142" spans="1:5" x14ac:dyDescent="0.3">
      <c r="A142" s="4" t="s">
        <v>310</v>
      </c>
      <c r="B142" s="4" t="s">
        <v>311</v>
      </c>
      <c r="C142" s="4" t="s">
        <v>51</v>
      </c>
      <c r="D142" s="4" t="s">
        <v>305</v>
      </c>
      <c r="E142" s="4"/>
    </row>
    <row r="143" spans="1:5" x14ac:dyDescent="0.3">
      <c r="A143" s="4" t="s">
        <v>312</v>
      </c>
      <c r="B143" s="4" t="s">
        <v>313</v>
      </c>
      <c r="C143" s="4" t="s">
        <v>51</v>
      </c>
      <c r="D143" s="4" t="s">
        <v>305</v>
      </c>
      <c r="E143" s="4"/>
    </row>
    <row r="144" spans="1:5" x14ac:dyDescent="0.3">
      <c r="A144" s="4" t="s">
        <v>314</v>
      </c>
      <c r="B144" s="4" t="s">
        <v>315</v>
      </c>
      <c r="C144" s="4" t="s">
        <v>51</v>
      </c>
      <c r="D144" s="4" t="s">
        <v>305</v>
      </c>
      <c r="E144" s="4"/>
    </row>
    <row r="145" spans="1:5" x14ac:dyDescent="0.3">
      <c r="A145" s="4" t="s">
        <v>316</v>
      </c>
      <c r="B145" s="4" t="s">
        <v>317</v>
      </c>
      <c r="C145" s="4" t="s">
        <v>22</v>
      </c>
      <c r="D145" s="4" t="s">
        <v>317</v>
      </c>
      <c r="E145" s="4"/>
    </row>
    <row r="146" spans="1:5" x14ac:dyDescent="0.3">
      <c r="A146" s="4" t="s">
        <v>318</v>
      </c>
      <c r="B146" s="4" t="s">
        <v>319</v>
      </c>
      <c r="C146" s="4" t="s">
        <v>22</v>
      </c>
      <c r="D146" s="4" t="s">
        <v>317</v>
      </c>
      <c r="E146" s="4"/>
    </row>
    <row r="147" spans="1:5" x14ac:dyDescent="0.3">
      <c r="A147" s="4" t="s">
        <v>320</v>
      </c>
      <c r="B147" s="4" t="s">
        <v>321</v>
      </c>
      <c r="C147" s="4" t="s">
        <v>22</v>
      </c>
      <c r="D147" s="4" t="s">
        <v>317</v>
      </c>
      <c r="E147" s="4"/>
    </row>
    <row r="148" spans="1:5" x14ac:dyDescent="0.3">
      <c r="A148" s="4" t="s">
        <v>322</v>
      </c>
      <c r="B148" s="4" t="s">
        <v>323</v>
      </c>
      <c r="C148" s="4" t="s">
        <v>22</v>
      </c>
      <c r="D148" s="4" t="s">
        <v>317</v>
      </c>
      <c r="E148" s="4"/>
    </row>
    <row r="149" spans="1:5" x14ac:dyDescent="0.3">
      <c r="A149" s="4" t="s">
        <v>324</v>
      </c>
      <c r="B149" s="4" t="s">
        <v>325</v>
      </c>
      <c r="C149" s="4" t="s">
        <v>22</v>
      </c>
      <c r="D149" s="4" t="s">
        <v>326</v>
      </c>
      <c r="E149" s="4"/>
    </row>
    <row r="150" spans="1:5" x14ac:dyDescent="0.3">
      <c r="A150" s="4" t="s">
        <v>327</v>
      </c>
      <c r="B150" s="4" t="s">
        <v>328</v>
      </c>
      <c r="C150" s="4" t="s">
        <v>22</v>
      </c>
      <c r="D150" s="4" t="s">
        <v>326</v>
      </c>
      <c r="E150" s="4"/>
    </row>
    <row r="151" spans="1:5" x14ac:dyDescent="0.3">
      <c r="A151" s="4" t="s">
        <v>329</v>
      </c>
      <c r="B151" s="4" t="s">
        <v>330</v>
      </c>
      <c r="C151" s="4" t="s">
        <v>22</v>
      </c>
      <c r="D151" s="4" t="s">
        <v>326</v>
      </c>
      <c r="E151" s="4"/>
    </row>
    <row r="152" spans="1:5" x14ac:dyDescent="0.3">
      <c r="A152" s="4" t="s">
        <v>331</v>
      </c>
      <c r="B152" s="4" t="s">
        <v>332</v>
      </c>
      <c r="C152" s="4" t="s">
        <v>22</v>
      </c>
      <c r="D152" s="4" t="s">
        <v>326</v>
      </c>
      <c r="E152" s="4"/>
    </row>
    <row r="153" spans="1:5" x14ac:dyDescent="0.3">
      <c r="A153" s="4" t="s">
        <v>333</v>
      </c>
      <c r="B153" s="4" t="s">
        <v>334</v>
      </c>
      <c r="C153" s="4" t="s">
        <v>22</v>
      </c>
      <c r="D153" s="4" t="s">
        <v>326</v>
      </c>
      <c r="E153" s="4"/>
    </row>
    <row r="154" spans="1:5" x14ac:dyDescent="0.3">
      <c r="A154" s="4" t="s">
        <v>335</v>
      </c>
      <c r="B154" s="4" t="s">
        <v>336</v>
      </c>
      <c r="C154" s="4" t="s">
        <v>22</v>
      </c>
      <c r="D154" s="4" t="s">
        <v>326</v>
      </c>
      <c r="E154" s="4"/>
    </row>
    <row r="155" spans="1:5" x14ac:dyDescent="0.3">
      <c r="A155" s="4" t="s">
        <v>337</v>
      </c>
      <c r="B155" s="4" t="s">
        <v>338</v>
      </c>
      <c r="C155" s="4" t="s">
        <v>22</v>
      </c>
      <c r="D155" s="4" t="s">
        <v>326</v>
      </c>
      <c r="E155" s="4"/>
    </row>
    <row r="156" spans="1:5" x14ac:dyDescent="0.3">
      <c r="A156" s="4" t="s">
        <v>339</v>
      </c>
      <c r="B156" s="4" t="s">
        <v>340</v>
      </c>
      <c r="C156" s="4" t="s">
        <v>22</v>
      </c>
      <c r="D156" s="4" t="s">
        <v>326</v>
      </c>
      <c r="E156" s="4"/>
    </row>
    <row r="157" spans="1:5" x14ac:dyDescent="0.3">
      <c r="A157" s="4" t="s">
        <v>341</v>
      </c>
      <c r="B157" s="4" t="s">
        <v>342</v>
      </c>
      <c r="C157" s="4" t="s">
        <v>22</v>
      </c>
      <c r="D157" s="4" t="s">
        <v>326</v>
      </c>
      <c r="E157" s="4"/>
    </row>
    <row r="158" spans="1:5" x14ac:dyDescent="0.3">
      <c r="A158" s="4" t="s">
        <v>343</v>
      </c>
      <c r="B158" s="4" t="s">
        <v>344</v>
      </c>
      <c r="C158" s="4" t="s">
        <v>22</v>
      </c>
      <c r="D158" s="4" t="s">
        <v>326</v>
      </c>
      <c r="E158" s="4"/>
    </row>
    <row r="159" spans="1:5" x14ac:dyDescent="0.3">
      <c r="A159" s="4" t="s">
        <v>345</v>
      </c>
      <c r="B159" s="4" t="s">
        <v>346</v>
      </c>
      <c r="C159" s="4" t="s">
        <v>22</v>
      </c>
      <c r="D159" s="4" t="s">
        <v>326</v>
      </c>
      <c r="E159" s="4"/>
    </row>
    <row r="160" spans="1:5" x14ac:dyDescent="0.3">
      <c r="A160" s="4" t="s">
        <v>347</v>
      </c>
      <c r="B160" s="4" t="s">
        <v>348</v>
      </c>
      <c r="C160" s="4" t="s">
        <v>22</v>
      </c>
      <c r="D160" s="4" t="s">
        <v>326</v>
      </c>
      <c r="E160" s="4"/>
    </row>
    <row r="161" spans="1:5" x14ac:dyDescent="0.3">
      <c r="A161" s="4" t="s">
        <v>349</v>
      </c>
      <c r="B161" s="4" t="s">
        <v>350</v>
      </c>
      <c r="C161" s="4" t="s">
        <v>22</v>
      </c>
      <c r="D161" s="4" t="s">
        <v>326</v>
      </c>
      <c r="E161" s="4"/>
    </row>
    <row r="162" spans="1:5" x14ac:dyDescent="0.3">
      <c r="A162" s="4" t="s">
        <v>351</v>
      </c>
      <c r="B162" s="4" t="s">
        <v>352</v>
      </c>
      <c r="C162" s="4" t="s">
        <v>22</v>
      </c>
      <c r="D162" s="4" t="s">
        <v>326</v>
      </c>
      <c r="E162" s="4"/>
    </row>
    <row r="163" spans="1:5" x14ac:dyDescent="0.3">
      <c r="A163" s="4" t="s">
        <v>353</v>
      </c>
      <c r="B163" s="4" t="s">
        <v>354</v>
      </c>
      <c r="C163" s="4" t="s">
        <v>22</v>
      </c>
      <c r="D163" s="4" t="s">
        <v>326</v>
      </c>
      <c r="E163" s="4"/>
    </row>
    <row r="164" spans="1:5" x14ac:dyDescent="0.3">
      <c r="A164" s="4" t="s">
        <v>355</v>
      </c>
      <c r="B164" s="4" t="s">
        <v>356</v>
      </c>
      <c r="C164" s="4" t="s">
        <v>22</v>
      </c>
      <c r="D164" s="4" t="s">
        <v>326</v>
      </c>
      <c r="E164" s="4"/>
    </row>
    <row r="165" spans="1:5" x14ac:dyDescent="0.3">
      <c r="A165" s="4" t="s">
        <v>357</v>
      </c>
      <c r="B165" s="4" t="s">
        <v>358</v>
      </c>
      <c r="C165" s="4" t="s">
        <v>22</v>
      </c>
      <c r="D165" s="4" t="s">
        <v>326</v>
      </c>
      <c r="E165" s="4"/>
    </row>
    <row r="166" spans="1:5" x14ac:dyDescent="0.3">
      <c r="A166" s="4" t="s">
        <v>359</v>
      </c>
      <c r="B166" s="4" t="s">
        <v>360</v>
      </c>
      <c r="C166" s="4" t="s">
        <v>22</v>
      </c>
      <c r="D166" s="4" t="s">
        <v>326</v>
      </c>
      <c r="E166" s="4"/>
    </row>
    <row r="167" spans="1:5" x14ac:dyDescent="0.3">
      <c r="A167" s="4" t="s">
        <v>361</v>
      </c>
      <c r="B167" s="4" t="s">
        <v>362</v>
      </c>
      <c r="C167" s="4" t="s">
        <v>22</v>
      </c>
      <c r="D167" s="4" t="s">
        <v>326</v>
      </c>
      <c r="E167" s="4"/>
    </row>
    <row r="168" spans="1:5" x14ac:dyDescent="0.3">
      <c r="A168" s="4" t="s">
        <v>363</v>
      </c>
      <c r="B168" s="4" t="s">
        <v>364</v>
      </c>
      <c r="C168" s="4" t="s">
        <v>22</v>
      </c>
      <c r="D168" s="4" t="s">
        <v>326</v>
      </c>
      <c r="E168" s="4"/>
    </row>
    <row r="169" spans="1:5" x14ac:dyDescent="0.3">
      <c r="A169" s="4" t="s">
        <v>365</v>
      </c>
      <c r="B169" s="4" t="s">
        <v>366</v>
      </c>
      <c r="C169" s="4" t="s">
        <v>22</v>
      </c>
      <c r="D169" s="4" t="s">
        <v>326</v>
      </c>
      <c r="E169" s="4"/>
    </row>
    <row r="170" spans="1:5" x14ac:dyDescent="0.3">
      <c r="A170" s="4" t="s">
        <v>367</v>
      </c>
      <c r="B170" s="4" t="s">
        <v>368</v>
      </c>
      <c r="C170" s="4" t="s">
        <v>22</v>
      </c>
      <c r="D170" s="4" t="s">
        <v>326</v>
      </c>
      <c r="E170" s="4"/>
    </row>
    <row r="171" spans="1:5" x14ac:dyDescent="0.3">
      <c r="A171" s="4" t="s">
        <v>369</v>
      </c>
      <c r="B171" s="4" t="s">
        <v>370</v>
      </c>
      <c r="C171" s="4" t="s">
        <v>22</v>
      </c>
      <c r="D171" s="4" t="s">
        <v>326</v>
      </c>
      <c r="E171" s="4"/>
    </row>
    <row r="172" spans="1:5" x14ac:dyDescent="0.3">
      <c r="A172" s="4" t="s">
        <v>371</v>
      </c>
      <c r="B172" s="4" t="s">
        <v>372</v>
      </c>
      <c r="C172" s="4" t="s">
        <v>22</v>
      </c>
      <c r="D172" s="4" t="s">
        <v>326</v>
      </c>
      <c r="E172" s="4"/>
    </row>
    <row r="173" spans="1:5" x14ac:dyDescent="0.3">
      <c r="A173" s="4" t="s">
        <v>373</v>
      </c>
      <c r="B173" s="4" t="s">
        <v>374</v>
      </c>
      <c r="C173" s="4" t="s">
        <v>22</v>
      </c>
      <c r="D173" s="4" t="s">
        <v>326</v>
      </c>
      <c r="E173" s="4"/>
    </row>
    <row r="174" spans="1:5" x14ac:dyDescent="0.3">
      <c r="A174" s="4" t="s">
        <v>375</v>
      </c>
      <c r="B174" s="4" t="s">
        <v>376</v>
      </c>
      <c r="C174" s="4" t="s">
        <v>22</v>
      </c>
      <c r="D174" s="4" t="s">
        <v>326</v>
      </c>
      <c r="E174" s="4"/>
    </row>
    <row r="175" spans="1:5" x14ac:dyDescent="0.3">
      <c r="A175" s="4" t="s">
        <v>377</v>
      </c>
      <c r="B175" s="4" t="s">
        <v>378</v>
      </c>
      <c r="C175" s="4" t="s">
        <v>22</v>
      </c>
      <c r="D175" s="4" t="s">
        <v>326</v>
      </c>
      <c r="E175" s="4"/>
    </row>
    <row r="176" spans="1:5" x14ac:dyDescent="0.3">
      <c r="A176" s="4" t="s">
        <v>379</v>
      </c>
      <c r="B176" s="4" t="s">
        <v>380</v>
      </c>
      <c r="C176" s="4" t="s">
        <v>22</v>
      </c>
      <c r="D176" s="4" t="s">
        <v>326</v>
      </c>
      <c r="E176" s="4"/>
    </row>
    <row r="177" spans="1:5" x14ac:dyDescent="0.3">
      <c r="A177" s="4" t="s">
        <v>381</v>
      </c>
      <c r="B177" s="4" t="s">
        <v>382</v>
      </c>
      <c r="C177" s="4" t="s">
        <v>22</v>
      </c>
      <c r="D177" s="4" t="s">
        <v>326</v>
      </c>
      <c r="E177" s="4"/>
    </row>
    <row r="178" spans="1:5" x14ac:dyDescent="0.3">
      <c r="A178" s="4" t="s">
        <v>383</v>
      </c>
      <c r="B178" s="4" t="s">
        <v>384</v>
      </c>
      <c r="C178" s="4" t="s">
        <v>22</v>
      </c>
      <c r="D178" s="4" t="s">
        <v>326</v>
      </c>
      <c r="E178" s="4"/>
    </row>
    <row r="179" spans="1:5" x14ac:dyDescent="0.3">
      <c r="A179" s="4" t="s">
        <v>385</v>
      </c>
      <c r="B179" s="4" t="s">
        <v>386</v>
      </c>
      <c r="C179" s="4" t="s">
        <v>22</v>
      </c>
      <c r="D179" s="4" t="s">
        <v>326</v>
      </c>
      <c r="E179" s="4"/>
    </row>
    <row r="180" spans="1:5" x14ac:dyDescent="0.3">
      <c r="A180" s="4" t="s">
        <v>387</v>
      </c>
      <c r="B180" s="4" t="s">
        <v>388</v>
      </c>
      <c r="C180" s="4" t="s">
        <v>22</v>
      </c>
      <c r="D180" s="4" t="s">
        <v>326</v>
      </c>
      <c r="E180" s="4"/>
    </row>
    <row r="181" spans="1:5" x14ac:dyDescent="0.3">
      <c r="A181" s="4" t="s">
        <v>389</v>
      </c>
      <c r="B181" s="4" t="s">
        <v>390</v>
      </c>
      <c r="C181" s="4" t="s">
        <v>22</v>
      </c>
      <c r="D181" s="4" t="s">
        <v>326</v>
      </c>
      <c r="E181" s="4"/>
    </row>
    <row r="182" spans="1:5" x14ac:dyDescent="0.3">
      <c r="A182" s="4" t="s">
        <v>391</v>
      </c>
      <c r="B182" s="4" t="s">
        <v>392</v>
      </c>
      <c r="C182" s="4" t="s">
        <v>22</v>
      </c>
      <c r="D182" s="4" t="s">
        <v>326</v>
      </c>
      <c r="E182" s="4"/>
    </row>
    <row r="183" spans="1:5" x14ac:dyDescent="0.3">
      <c r="A183" s="4" t="s">
        <v>393</v>
      </c>
      <c r="B183" s="4" t="s">
        <v>394</v>
      </c>
      <c r="C183" s="4" t="s">
        <v>22</v>
      </c>
      <c r="D183" s="4" t="s">
        <v>326</v>
      </c>
      <c r="E183" s="4"/>
    </row>
    <row r="184" spans="1:5" x14ac:dyDescent="0.3">
      <c r="A184" s="4" t="s">
        <v>395</v>
      </c>
      <c r="B184" s="4" t="s">
        <v>396</v>
      </c>
      <c r="C184" s="4" t="s">
        <v>22</v>
      </c>
      <c r="D184" s="4" t="s">
        <v>326</v>
      </c>
      <c r="E184" s="4"/>
    </row>
    <row r="185" spans="1:5" x14ac:dyDescent="0.3">
      <c r="A185" s="4" t="s">
        <v>397</v>
      </c>
      <c r="B185" s="4" t="s">
        <v>398</v>
      </c>
      <c r="C185" s="4" t="s">
        <v>22</v>
      </c>
      <c r="D185" s="4" t="s">
        <v>326</v>
      </c>
      <c r="E185" s="4"/>
    </row>
    <row r="186" spans="1:5" x14ac:dyDescent="0.3">
      <c r="A186" s="4" t="s">
        <v>399</v>
      </c>
      <c r="B186" s="4" t="s">
        <v>400</v>
      </c>
      <c r="C186" s="4" t="s">
        <v>22</v>
      </c>
      <c r="D186" s="4" t="s">
        <v>326</v>
      </c>
      <c r="E186" s="4"/>
    </row>
    <row r="187" spans="1:5" x14ac:dyDescent="0.3">
      <c r="A187" s="4" t="s">
        <v>401</v>
      </c>
      <c r="B187" s="4" t="s">
        <v>402</v>
      </c>
      <c r="C187" s="4" t="s">
        <v>22</v>
      </c>
      <c r="D187" s="4" t="s">
        <v>326</v>
      </c>
      <c r="E187" s="4"/>
    </row>
    <row r="188" spans="1:5" x14ac:dyDescent="0.3">
      <c r="A188" s="4" t="s">
        <v>403</v>
      </c>
      <c r="B188" s="4" t="s">
        <v>404</v>
      </c>
      <c r="C188" s="4" t="s">
        <v>22</v>
      </c>
      <c r="D188" s="4" t="s">
        <v>326</v>
      </c>
      <c r="E188" s="4"/>
    </row>
    <row r="189" spans="1:5" x14ac:dyDescent="0.3">
      <c r="A189" s="4" t="s">
        <v>405</v>
      </c>
      <c r="B189" s="4" t="s">
        <v>406</v>
      </c>
      <c r="C189" s="4" t="s">
        <v>22</v>
      </c>
      <c r="D189" s="4" t="s">
        <v>326</v>
      </c>
      <c r="E189" s="4"/>
    </row>
    <row r="190" spans="1:5" x14ac:dyDescent="0.3">
      <c r="A190" s="4" t="s">
        <v>407</v>
      </c>
      <c r="B190" s="4" t="s">
        <v>408</v>
      </c>
      <c r="C190" s="4" t="s">
        <v>22</v>
      </c>
      <c r="D190" s="4" t="s">
        <v>326</v>
      </c>
      <c r="E190" s="4"/>
    </row>
    <row r="191" spans="1:5" x14ac:dyDescent="0.3">
      <c r="A191" s="4" t="s">
        <v>409</v>
      </c>
      <c r="B191" s="4" t="s">
        <v>410</v>
      </c>
      <c r="C191" s="4" t="s">
        <v>22</v>
      </c>
      <c r="D191" s="4" t="s">
        <v>326</v>
      </c>
      <c r="E191" s="4"/>
    </row>
    <row r="192" spans="1:5" x14ac:dyDescent="0.3">
      <c r="A192" s="4" t="s">
        <v>411</v>
      </c>
      <c r="B192" s="4" t="s">
        <v>412</v>
      </c>
      <c r="C192" s="4" t="s">
        <v>22</v>
      </c>
      <c r="D192" s="4" t="s">
        <v>326</v>
      </c>
      <c r="E192" s="4"/>
    </row>
    <row r="193" spans="1:5" x14ac:dyDescent="0.3">
      <c r="A193" s="4" t="s">
        <v>413</v>
      </c>
      <c r="B193" s="4" t="s">
        <v>414</v>
      </c>
      <c r="C193" s="4" t="s">
        <v>22</v>
      </c>
      <c r="D193" s="4" t="s">
        <v>326</v>
      </c>
      <c r="E193" s="4"/>
    </row>
    <row r="194" spans="1:5" x14ac:dyDescent="0.3">
      <c r="A194" s="4" t="s">
        <v>415</v>
      </c>
      <c r="B194" s="4" t="s">
        <v>416</v>
      </c>
      <c r="C194" s="4" t="s">
        <v>22</v>
      </c>
      <c r="D194" s="4" t="s">
        <v>326</v>
      </c>
      <c r="E194" s="4"/>
    </row>
    <row r="195" spans="1:5" x14ac:dyDescent="0.3">
      <c r="A195" s="4" t="s">
        <v>417</v>
      </c>
      <c r="B195" s="4" t="s">
        <v>418</v>
      </c>
      <c r="C195" s="4" t="s">
        <v>22</v>
      </c>
      <c r="D195" s="4" t="s">
        <v>326</v>
      </c>
      <c r="E195" s="4"/>
    </row>
    <row r="196" spans="1:5" x14ac:dyDescent="0.3">
      <c r="A196" s="4" t="s">
        <v>419</v>
      </c>
      <c r="B196" s="4" t="s">
        <v>420</v>
      </c>
      <c r="C196" s="4" t="s">
        <v>22</v>
      </c>
      <c r="D196" s="4" t="s">
        <v>326</v>
      </c>
      <c r="E196" s="4"/>
    </row>
    <row r="197" spans="1:5" x14ac:dyDescent="0.3">
      <c r="A197" s="4" t="s">
        <v>421</v>
      </c>
      <c r="B197" s="4" t="s">
        <v>422</v>
      </c>
      <c r="C197" s="4" t="s">
        <v>22</v>
      </c>
      <c r="D197" s="4" t="s">
        <v>326</v>
      </c>
      <c r="E197" s="4"/>
    </row>
    <row r="198" spans="1:5" x14ac:dyDescent="0.3">
      <c r="A198" s="4" t="s">
        <v>423</v>
      </c>
      <c r="B198" s="4" t="s">
        <v>424</v>
      </c>
      <c r="C198" s="4" t="s">
        <v>22</v>
      </c>
      <c r="D198" s="4" t="s">
        <v>326</v>
      </c>
      <c r="E198" s="4"/>
    </row>
    <row r="199" spans="1:5" x14ac:dyDescent="0.3">
      <c r="A199" s="4" t="s">
        <v>425</v>
      </c>
      <c r="B199" s="4" t="s">
        <v>426</v>
      </c>
      <c r="C199" s="4" t="s">
        <v>22</v>
      </c>
      <c r="D199" s="4" t="s">
        <v>326</v>
      </c>
      <c r="E199" s="4"/>
    </row>
    <row r="200" spans="1:5" x14ac:dyDescent="0.3">
      <c r="A200" s="4" t="s">
        <v>427</v>
      </c>
      <c r="B200" s="4" t="s">
        <v>428</v>
      </c>
      <c r="C200" s="4" t="s">
        <v>22</v>
      </c>
      <c r="D200" s="4" t="s">
        <v>326</v>
      </c>
      <c r="E200" s="4"/>
    </row>
    <row r="201" spans="1:5" x14ac:dyDescent="0.3">
      <c r="A201" s="4" t="s">
        <v>429</v>
      </c>
      <c r="B201" s="4" t="s">
        <v>430</v>
      </c>
      <c r="C201" s="4" t="s">
        <v>22</v>
      </c>
      <c r="D201" s="4" t="s">
        <v>326</v>
      </c>
      <c r="E201" s="4"/>
    </row>
    <row r="202" spans="1:5" x14ac:dyDescent="0.3">
      <c r="A202" s="4" t="s">
        <v>431</v>
      </c>
      <c r="B202" s="4" t="s">
        <v>432</v>
      </c>
      <c r="C202" s="4" t="s">
        <v>51</v>
      </c>
      <c r="D202" s="4" t="s">
        <v>433</v>
      </c>
      <c r="E202" s="4"/>
    </row>
    <row r="203" spans="1:5" x14ac:dyDescent="0.3">
      <c r="A203" s="4" t="s">
        <v>434</v>
      </c>
      <c r="B203" s="4" t="s">
        <v>435</v>
      </c>
      <c r="C203" s="4" t="s">
        <v>51</v>
      </c>
      <c r="D203" s="4" t="s">
        <v>433</v>
      </c>
      <c r="E203" s="4"/>
    </row>
    <row r="204" spans="1:5" x14ac:dyDescent="0.3">
      <c r="A204" s="4" t="s">
        <v>436</v>
      </c>
      <c r="B204" s="4" t="s">
        <v>437</v>
      </c>
      <c r="C204" s="4" t="s">
        <v>51</v>
      </c>
      <c r="D204" s="4" t="s">
        <v>433</v>
      </c>
      <c r="E204" s="4"/>
    </row>
    <row r="205" spans="1:5" x14ac:dyDescent="0.3">
      <c r="A205" s="4" t="s">
        <v>438</v>
      </c>
      <c r="B205" s="4" t="s">
        <v>439</v>
      </c>
      <c r="C205" s="4" t="s">
        <v>51</v>
      </c>
      <c r="D205" s="4" t="s">
        <v>433</v>
      </c>
      <c r="E205" s="4"/>
    </row>
    <row r="206" spans="1:5" x14ac:dyDescent="0.3">
      <c r="A206" s="4" t="s">
        <v>440</v>
      </c>
      <c r="B206" s="4" t="s">
        <v>441</v>
      </c>
      <c r="C206" s="4" t="s">
        <v>51</v>
      </c>
      <c r="D206" s="4" t="s">
        <v>433</v>
      </c>
      <c r="E206" s="4"/>
    </row>
    <row r="207" spans="1:5" x14ac:dyDescent="0.3">
      <c r="A207" s="4" t="s">
        <v>442</v>
      </c>
      <c r="B207" s="4" t="s">
        <v>443</v>
      </c>
      <c r="C207" s="4" t="s">
        <v>51</v>
      </c>
      <c r="D207" s="4" t="s">
        <v>433</v>
      </c>
      <c r="E207" s="4"/>
    </row>
    <row r="208" spans="1:5" x14ac:dyDescent="0.3">
      <c r="A208" s="4" t="s">
        <v>444</v>
      </c>
      <c r="B208" s="4" t="s">
        <v>445</v>
      </c>
      <c r="C208" s="4" t="s">
        <v>51</v>
      </c>
      <c r="D208" s="4" t="s">
        <v>433</v>
      </c>
      <c r="E208" s="4"/>
    </row>
    <row r="209" spans="1:5" x14ac:dyDescent="0.3">
      <c r="A209" s="4" t="s">
        <v>446</v>
      </c>
      <c r="B209" s="4" t="s">
        <v>447</v>
      </c>
      <c r="C209" s="4" t="s">
        <v>51</v>
      </c>
      <c r="D209" s="4" t="s">
        <v>433</v>
      </c>
      <c r="E209" s="4"/>
    </row>
    <row r="210" spans="1:5" x14ac:dyDescent="0.3">
      <c r="A210" s="4" t="s">
        <v>448</v>
      </c>
      <c r="B210" s="4" t="s">
        <v>449</v>
      </c>
      <c r="C210" s="4" t="s">
        <v>51</v>
      </c>
      <c r="D210" s="4" t="s">
        <v>433</v>
      </c>
      <c r="E210" s="4"/>
    </row>
    <row r="211" spans="1:5" x14ac:dyDescent="0.3">
      <c r="A211" s="4" t="s">
        <v>450</v>
      </c>
      <c r="B211" s="4" t="s">
        <v>451</v>
      </c>
      <c r="C211" s="4" t="s">
        <v>51</v>
      </c>
      <c r="D211" s="4" t="s">
        <v>433</v>
      </c>
      <c r="E211" s="4"/>
    </row>
    <row r="212" spans="1:5" x14ac:dyDescent="0.3">
      <c r="A212" s="4" t="s">
        <v>452</v>
      </c>
      <c r="B212" s="4" t="s">
        <v>453</v>
      </c>
      <c r="C212" s="4" t="s">
        <v>51</v>
      </c>
      <c r="D212" s="4" t="s">
        <v>433</v>
      </c>
      <c r="E212" s="4"/>
    </row>
    <row r="213" spans="1:5" x14ac:dyDescent="0.3">
      <c r="A213" s="4" t="s">
        <v>454</v>
      </c>
      <c r="B213" s="4" t="s">
        <v>445</v>
      </c>
      <c r="C213" s="4" t="s">
        <v>51</v>
      </c>
      <c r="D213" s="4" t="s">
        <v>433</v>
      </c>
      <c r="E213" s="4"/>
    </row>
    <row r="214" spans="1:5" x14ac:dyDescent="0.3">
      <c r="A214" s="4" t="s">
        <v>455</v>
      </c>
      <c r="B214" s="4" t="s">
        <v>456</v>
      </c>
      <c r="C214" s="4" t="s">
        <v>51</v>
      </c>
      <c r="D214" s="4" t="s">
        <v>433</v>
      </c>
      <c r="E214" s="4"/>
    </row>
    <row r="215" spans="1:5" x14ac:dyDescent="0.3">
      <c r="A215" s="4" t="s">
        <v>457</v>
      </c>
      <c r="B215" s="4" t="s">
        <v>458</v>
      </c>
      <c r="C215" s="4" t="s">
        <v>22</v>
      </c>
      <c r="D215" s="4" t="s">
        <v>459</v>
      </c>
      <c r="E215" s="4"/>
    </row>
    <row r="216" spans="1:5" x14ac:dyDescent="0.3">
      <c r="A216" s="4" t="s">
        <v>460</v>
      </c>
      <c r="B216" s="4" t="s">
        <v>461</v>
      </c>
      <c r="C216" s="4" t="s">
        <v>22</v>
      </c>
      <c r="D216" s="4" t="s">
        <v>459</v>
      </c>
      <c r="E216" s="4"/>
    </row>
    <row r="217" spans="1:5" x14ac:dyDescent="0.3">
      <c r="A217" s="4" t="s">
        <v>462</v>
      </c>
      <c r="B217" s="4" t="s">
        <v>463</v>
      </c>
      <c r="C217" s="4" t="s">
        <v>22</v>
      </c>
      <c r="D217" s="4" t="s">
        <v>459</v>
      </c>
      <c r="E217" s="4"/>
    </row>
    <row r="218" spans="1:5" x14ac:dyDescent="0.3">
      <c r="A218" s="4" t="s">
        <v>464</v>
      </c>
      <c r="B218" s="4" t="s">
        <v>465</v>
      </c>
      <c r="C218" s="4" t="s">
        <v>22</v>
      </c>
      <c r="D218" s="4" t="s">
        <v>459</v>
      </c>
      <c r="E218" s="4"/>
    </row>
    <row r="219" spans="1:5" x14ac:dyDescent="0.3">
      <c r="A219" s="4" t="s">
        <v>466</v>
      </c>
      <c r="B219" s="4" t="s">
        <v>467</v>
      </c>
      <c r="C219" s="4" t="s">
        <v>22</v>
      </c>
      <c r="D219" s="4" t="s">
        <v>459</v>
      </c>
      <c r="E219" s="4"/>
    </row>
    <row r="220" spans="1:5" x14ac:dyDescent="0.3">
      <c r="A220" s="4" t="s">
        <v>468</v>
      </c>
      <c r="B220" s="4" t="s">
        <v>469</v>
      </c>
      <c r="C220" s="4" t="s">
        <v>22</v>
      </c>
      <c r="D220" s="4" t="s">
        <v>459</v>
      </c>
      <c r="E220" s="4"/>
    </row>
    <row r="221" spans="1:5" x14ac:dyDescent="0.3">
      <c r="A221" s="4" t="s">
        <v>470</v>
      </c>
      <c r="B221" s="4" t="s">
        <v>471</v>
      </c>
      <c r="C221" s="4" t="s">
        <v>22</v>
      </c>
      <c r="D221" s="4" t="s">
        <v>459</v>
      </c>
      <c r="E221" s="4"/>
    </row>
    <row r="222" spans="1:5" x14ac:dyDescent="0.3">
      <c r="A222" s="4" t="s">
        <v>472</v>
      </c>
      <c r="B222" s="4" t="s">
        <v>473</v>
      </c>
      <c r="C222" s="4" t="s">
        <v>22</v>
      </c>
      <c r="D222" s="4" t="s">
        <v>459</v>
      </c>
      <c r="E222" s="4"/>
    </row>
    <row r="223" spans="1:5" x14ac:dyDescent="0.3">
      <c r="A223" s="4" t="s">
        <v>474</v>
      </c>
      <c r="B223" s="4" t="s">
        <v>358</v>
      </c>
      <c r="C223" s="4" t="s">
        <v>22</v>
      </c>
      <c r="D223" s="4" t="s">
        <v>459</v>
      </c>
      <c r="E223" s="4"/>
    </row>
    <row r="224" spans="1:5" x14ac:dyDescent="0.3">
      <c r="A224" s="4" t="s">
        <v>475</v>
      </c>
      <c r="B224" s="4" t="s">
        <v>476</v>
      </c>
      <c r="C224" s="4" t="s">
        <v>22</v>
      </c>
      <c r="D224" s="4" t="s">
        <v>477</v>
      </c>
      <c r="E224" s="4"/>
    </row>
    <row r="225" spans="1:5" x14ac:dyDescent="0.3">
      <c r="A225" s="4" t="s">
        <v>478</v>
      </c>
      <c r="B225" s="4" t="s">
        <v>479</v>
      </c>
      <c r="C225" s="4" t="s">
        <v>22</v>
      </c>
      <c r="D225" s="4" t="s">
        <v>477</v>
      </c>
      <c r="E225" s="4"/>
    </row>
  </sheetData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8"/>
  <sheetViews>
    <sheetView topLeftCell="A175" workbookViewId="0">
      <selection activeCell="C158" sqref="C158"/>
    </sheetView>
  </sheetViews>
  <sheetFormatPr defaultRowHeight="15" x14ac:dyDescent="0.3"/>
  <cols>
    <col min="1" max="1" width="12" customWidth="1"/>
    <col min="2" max="2" width="30" customWidth="1"/>
    <col min="3" max="5" width="15" customWidth="1"/>
    <col min="6" max="7" width="12" customWidth="1"/>
  </cols>
  <sheetData>
    <row r="1" spans="1:7" x14ac:dyDescent="0.3">
      <c r="A1" s="3" t="s">
        <v>15</v>
      </c>
      <c r="B1" s="3" t="s">
        <v>16</v>
      </c>
      <c r="C1" s="3" t="s">
        <v>486</v>
      </c>
      <c r="D1" s="3" t="s">
        <v>487</v>
      </c>
      <c r="E1" s="3" t="s">
        <v>488</v>
      </c>
      <c r="F1" s="3" t="s">
        <v>18</v>
      </c>
      <c r="G1" s="3" t="s">
        <v>19</v>
      </c>
    </row>
    <row r="2" spans="1:7" x14ac:dyDescent="0.3">
      <c r="A2" s="4" t="s">
        <v>20</v>
      </c>
      <c r="B2" s="4" t="s">
        <v>21</v>
      </c>
      <c r="C2" s="5">
        <f>SUMIFS(日記簿!$F$2:$F$1000,日記簿!$D$2:$D$1000,A2)</f>
        <v>0</v>
      </c>
      <c r="D2" s="5">
        <f>SUMIFS(日記簿!$G$2:$G$1000,日記簿!$D$2:$D$1000,A2)</f>
        <v>0</v>
      </c>
      <c r="E2" s="5">
        <f t="shared" ref="E2:E14" si="0">C2-D2</f>
        <v>0</v>
      </c>
      <c r="F2" s="6" t="s">
        <v>23</v>
      </c>
      <c r="G2" s="6" t="s">
        <v>24</v>
      </c>
    </row>
    <row r="3" spans="1:7" x14ac:dyDescent="0.3">
      <c r="A3" s="4" t="s">
        <v>25</v>
      </c>
      <c r="B3" s="4" t="s">
        <v>26</v>
      </c>
      <c r="C3" s="5">
        <f>SUMIFS(日記簿!$F$2:$F$1000,日記簿!$D$2:$D$1000,A3)</f>
        <v>0</v>
      </c>
      <c r="D3" s="5">
        <f>SUMIFS(日記簿!$G$2:$G$1000,日記簿!$D$2:$D$1000,A3)</f>
        <v>0</v>
      </c>
      <c r="E3" s="5">
        <f t="shared" si="0"/>
        <v>0</v>
      </c>
      <c r="F3" s="6" t="s">
        <v>23</v>
      </c>
      <c r="G3" s="6" t="s">
        <v>24</v>
      </c>
    </row>
    <row r="4" spans="1:7" x14ac:dyDescent="0.3">
      <c r="A4" s="4" t="s">
        <v>27</v>
      </c>
      <c r="B4" s="4" t="s">
        <v>28</v>
      </c>
      <c r="C4" s="5">
        <f>SUMIFS(日記簿!$F$2:$F$1000,日記簿!$D$2:$D$1000,A4)</f>
        <v>19879</v>
      </c>
      <c r="D4" s="5">
        <f>SUMIFS(日記簿!$G$2:$G$1000,日記簿!$D$2:$D$1000,A4)</f>
        <v>8782</v>
      </c>
      <c r="E4" s="5">
        <f t="shared" si="0"/>
        <v>11097</v>
      </c>
      <c r="F4" s="6" t="s">
        <v>23</v>
      </c>
      <c r="G4" s="6" t="s">
        <v>24</v>
      </c>
    </row>
    <row r="5" spans="1:7" x14ac:dyDescent="0.3">
      <c r="A5" s="4" t="s">
        <v>29</v>
      </c>
      <c r="B5" s="4" t="s">
        <v>30</v>
      </c>
      <c r="C5" s="5">
        <f>SUMIFS(日記簿!$F$2:$F$1000,日記簿!$D$2:$D$1000,A5)</f>
        <v>29835</v>
      </c>
      <c r="D5" s="5">
        <f>SUMIFS(日記簿!$G$2:$G$1000,日記簿!$D$2:$D$1000,A5)</f>
        <v>28062</v>
      </c>
      <c r="E5" s="5">
        <f t="shared" si="0"/>
        <v>1773</v>
      </c>
      <c r="F5" s="6" t="s">
        <v>23</v>
      </c>
      <c r="G5" s="6" t="s">
        <v>24</v>
      </c>
    </row>
    <row r="6" spans="1:7" x14ac:dyDescent="0.3">
      <c r="A6" s="4" t="s">
        <v>31</v>
      </c>
      <c r="B6" s="4" t="s">
        <v>32</v>
      </c>
      <c r="C6" s="5">
        <f>SUMIFS(日記簿!$F$2:$F$1000,日記簿!$D$2:$D$1000,A6)</f>
        <v>0</v>
      </c>
      <c r="D6" s="5">
        <f>SUMIFS(日記簿!$G$2:$G$1000,日記簿!$D$2:$D$1000,A6)</f>
        <v>0</v>
      </c>
      <c r="E6" s="5">
        <f t="shared" si="0"/>
        <v>0</v>
      </c>
      <c r="F6" s="6" t="s">
        <v>23</v>
      </c>
      <c r="G6" s="6" t="s">
        <v>24</v>
      </c>
    </row>
    <row r="7" spans="1:7" x14ac:dyDescent="0.3">
      <c r="A7" s="4" t="s">
        <v>33</v>
      </c>
      <c r="B7" s="4" t="s">
        <v>34</v>
      </c>
      <c r="C7" s="5">
        <f>SUMIFS(日記簿!$F$2:$F$1000,日記簿!$D$2:$D$1000,A7)</f>
        <v>0</v>
      </c>
      <c r="D7" s="5">
        <f>SUMIFS(日記簿!$G$2:$G$1000,日記簿!$D$2:$D$1000,A7)</f>
        <v>0</v>
      </c>
      <c r="E7" s="5">
        <f t="shared" si="0"/>
        <v>0</v>
      </c>
      <c r="F7" s="6" t="s">
        <v>23</v>
      </c>
      <c r="G7" s="6" t="s">
        <v>24</v>
      </c>
    </row>
    <row r="8" spans="1:7" x14ac:dyDescent="0.3">
      <c r="A8" s="4" t="s">
        <v>35</v>
      </c>
      <c r="B8" s="4" t="s">
        <v>36</v>
      </c>
      <c r="C8" s="5">
        <f>SUMIFS(日記簿!$F$2:$F$1000,日記簿!$D$2:$D$1000,A8)</f>
        <v>0</v>
      </c>
      <c r="D8" s="5">
        <f>SUMIFS(日記簿!$G$2:$G$1000,日記簿!$D$2:$D$1000,A8)</f>
        <v>0</v>
      </c>
      <c r="E8" s="5">
        <f t="shared" si="0"/>
        <v>0</v>
      </c>
      <c r="F8" s="6" t="s">
        <v>23</v>
      </c>
      <c r="G8" s="6" t="s">
        <v>24</v>
      </c>
    </row>
    <row r="9" spans="1:7" x14ac:dyDescent="0.3">
      <c r="A9" s="4" t="s">
        <v>37</v>
      </c>
      <c r="B9" s="4" t="s">
        <v>38</v>
      </c>
      <c r="C9" s="5">
        <f>SUMIFS(日記簿!$F$2:$F$1000,日記簿!$D$2:$D$1000,A9)</f>
        <v>0</v>
      </c>
      <c r="D9" s="5">
        <f>SUMIFS(日記簿!$G$2:$G$1000,日記簿!$D$2:$D$1000,A9)</f>
        <v>0</v>
      </c>
      <c r="E9" s="5">
        <f t="shared" si="0"/>
        <v>0</v>
      </c>
      <c r="F9" s="6" t="s">
        <v>23</v>
      </c>
      <c r="G9" s="6" t="s">
        <v>24</v>
      </c>
    </row>
    <row r="10" spans="1:7" x14ac:dyDescent="0.3">
      <c r="A10" s="4" t="s">
        <v>39</v>
      </c>
      <c r="B10" s="4" t="s">
        <v>40</v>
      </c>
      <c r="C10" s="5">
        <f>SUMIFS(日記簿!$F$2:$F$1000,日記簿!$D$2:$D$1000,A10)</f>
        <v>0</v>
      </c>
      <c r="D10" s="5">
        <f>SUMIFS(日記簿!$G$2:$G$1000,日記簿!$D$2:$D$1000,A10)</f>
        <v>0</v>
      </c>
      <c r="E10" s="5">
        <f t="shared" si="0"/>
        <v>0</v>
      </c>
      <c r="F10" s="6" t="s">
        <v>23</v>
      </c>
      <c r="G10" s="6" t="s">
        <v>24</v>
      </c>
    </row>
    <row r="11" spans="1:7" x14ac:dyDescent="0.3">
      <c r="A11" s="4" t="s">
        <v>41</v>
      </c>
      <c r="B11" s="4" t="s">
        <v>42</v>
      </c>
      <c r="C11" s="5">
        <f>SUMIFS(日記簿!$F$2:$F$1000,日記簿!$D$2:$D$1000,A11)</f>
        <v>0</v>
      </c>
      <c r="D11" s="5">
        <f>SUMIFS(日記簿!$G$2:$G$1000,日記簿!$D$2:$D$1000,A11)</f>
        <v>0</v>
      </c>
      <c r="E11" s="5">
        <f t="shared" si="0"/>
        <v>0</v>
      </c>
      <c r="F11" s="6" t="s">
        <v>23</v>
      </c>
      <c r="G11" s="6" t="s">
        <v>24</v>
      </c>
    </row>
    <row r="12" spans="1:7" x14ac:dyDescent="0.3">
      <c r="A12" s="4" t="s">
        <v>43</v>
      </c>
      <c r="B12" s="4" t="s">
        <v>44</v>
      </c>
      <c r="C12" s="5">
        <f>SUMIFS(日記簿!$F$2:$F$1000,日記簿!$D$2:$D$1000,A12)</f>
        <v>0</v>
      </c>
      <c r="D12" s="5">
        <f>SUMIFS(日記簿!$G$2:$G$1000,日記簿!$D$2:$D$1000,A12)</f>
        <v>0</v>
      </c>
      <c r="E12" s="5">
        <f t="shared" si="0"/>
        <v>0</v>
      </c>
      <c r="F12" s="6" t="s">
        <v>23</v>
      </c>
      <c r="G12" s="6" t="s">
        <v>24</v>
      </c>
    </row>
    <row r="13" spans="1:7" x14ac:dyDescent="0.3">
      <c r="A13" s="4" t="s">
        <v>45</v>
      </c>
      <c r="B13" s="4" t="s">
        <v>46</v>
      </c>
      <c r="C13" s="5">
        <f>SUMIFS(日記簿!$F$2:$F$1000,日記簿!$D$2:$D$1000,A13)</f>
        <v>0</v>
      </c>
      <c r="D13" s="5">
        <f>SUMIFS(日記簿!$G$2:$G$1000,日記簿!$D$2:$D$1000,A13)</f>
        <v>0</v>
      </c>
      <c r="E13" s="5">
        <f t="shared" si="0"/>
        <v>0</v>
      </c>
      <c r="F13" s="6" t="s">
        <v>23</v>
      </c>
      <c r="G13" s="6" t="s">
        <v>24</v>
      </c>
    </row>
    <row r="14" spans="1:7" x14ac:dyDescent="0.3">
      <c r="A14" s="4" t="s">
        <v>47</v>
      </c>
      <c r="B14" s="4" t="s">
        <v>48</v>
      </c>
      <c r="C14" s="5">
        <f>SUMIFS(日記簿!$F$2:$F$1000,日記簿!$D$2:$D$1000,A14)</f>
        <v>0</v>
      </c>
      <c r="D14" s="5">
        <f>SUMIFS(日記簿!$G$2:$G$1000,日記簿!$D$2:$D$1000,A14)</f>
        <v>0</v>
      </c>
      <c r="E14" s="5">
        <f t="shared" si="0"/>
        <v>0</v>
      </c>
      <c r="F14" s="6" t="s">
        <v>23</v>
      </c>
      <c r="G14" s="6" t="s">
        <v>24</v>
      </c>
    </row>
    <row r="15" spans="1:7" x14ac:dyDescent="0.3">
      <c r="A15" s="4" t="s">
        <v>49</v>
      </c>
      <c r="B15" s="4" t="s">
        <v>50</v>
      </c>
      <c r="C15" s="5">
        <f>SUMIFS(日記簿!$F$2:$F$1000,日記簿!$D$2:$D$1000,A15)</f>
        <v>0</v>
      </c>
      <c r="D15" s="5">
        <f>SUMIFS(日記簿!$G$2:$G$1000,日記簿!$D$2:$D$1000,A15)</f>
        <v>0</v>
      </c>
      <c r="E15" s="5">
        <f>D15-C15</f>
        <v>0</v>
      </c>
      <c r="F15" s="6" t="s">
        <v>23</v>
      </c>
      <c r="G15" s="6" t="s">
        <v>24</v>
      </c>
    </row>
    <row r="16" spans="1:7" x14ac:dyDescent="0.3">
      <c r="A16" s="4" t="s">
        <v>52</v>
      </c>
      <c r="B16" s="4" t="s">
        <v>53</v>
      </c>
      <c r="C16" s="5">
        <f>SUMIFS(日記簿!$F$2:$F$1000,日記簿!$D$2:$D$1000,A16)</f>
        <v>0</v>
      </c>
      <c r="D16" s="5">
        <f>SUMIFS(日記簿!$G$2:$G$1000,日記簿!$D$2:$D$1000,A16)</f>
        <v>0</v>
      </c>
      <c r="E16" s="5">
        <f>C16-D16</f>
        <v>0</v>
      </c>
      <c r="F16" s="6" t="s">
        <v>23</v>
      </c>
      <c r="G16" s="6" t="s">
        <v>24</v>
      </c>
    </row>
    <row r="17" spans="1:7" x14ac:dyDescent="0.3">
      <c r="A17" s="4" t="s">
        <v>54</v>
      </c>
      <c r="B17" s="4" t="s">
        <v>55</v>
      </c>
      <c r="C17" s="5">
        <f>SUMIFS(日記簿!$F$2:$F$1000,日記簿!$D$2:$D$1000,A17)</f>
        <v>0</v>
      </c>
      <c r="D17" s="5">
        <f>SUMIFS(日記簿!$G$2:$G$1000,日記簿!$D$2:$D$1000,A17)</f>
        <v>0</v>
      </c>
      <c r="E17" s="5">
        <f>D17-C17</f>
        <v>0</v>
      </c>
      <c r="F17" s="6" t="s">
        <v>23</v>
      </c>
      <c r="G17" s="6" t="s">
        <v>24</v>
      </c>
    </row>
    <row r="18" spans="1:7" x14ac:dyDescent="0.3">
      <c r="A18" s="4" t="s">
        <v>56</v>
      </c>
      <c r="B18" s="4" t="s">
        <v>57</v>
      </c>
      <c r="C18" s="5">
        <f>SUMIFS(日記簿!$F$2:$F$1000,日記簿!$D$2:$D$1000,A18)</f>
        <v>0</v>
      </c>
      <c r="D18" s="5">
        <f>SUMIFS(日記簿!$G$2:$G$1000,日記簿!$D$2:$D$1000,A18)</f>
        <v>0</v>
      </c>
      <c r="E18" s="5">
        <f>C18-D18</f>
        <v>0</v>
      </c>
      <c r="F18" s="6" t="s">
        <v>23</v>
      </c>
      <c r="G18" s="6" t="s">
        <v>24</v>
      </c>
    </row>
    <row r="19" spans="1:7" x14ac:dyDescent="0.3">
      <c r="A19" s="4" t="s">
        <v>58</v>
      </c>
      <c r="B19" s="4" t="s">
        <v>59</v>
      </c>
      <c r="C19" s="5">
        <f>SUMIFS(日記簿!$F$2:$F$1000,日記簿!$D$2:$D$1000,A19)</f>
        <v>0</v>
      </c>
      <c r="D19" s="5">
        <f>SUMIFS(日記簿!$G$2:$G$1000,日記簿!$D$2:$D$1000,A19)</f>
        <v>0</v>
      </c>
      <c r="E19" s="5">
        <f>D19-C19</f>
        <v>0</v>
      </c>
      <c r="F19" s="6" t="s">
        <v>23</v>
      </c>
      <c r="G19" s="6" t="s">
        <v>24</v>
      </c>
    </row>
    <row r="20" spans="1:7" x14ac:dyDescent="0.3">
      <c r="A20" s="4" t="s">
        <v>60</v>
      </c>
      <c r="B20" s="4" t="s">
        <v>61</v>
      </c>
      <c r="C20" s="5">
        <f>SUMIFS(日記簿!$F$2:$F$1000,日記簿!$D$2:$D$1000,A20)</f>
        <v>2842717</v>
      </c>
      <c r="D20" s="5">
        <f>SUMIFS(日記簿!$G$2:$G$1000,日記簿!$D$2:$D$1000,A20)</f>
        <v>2682788</v>
      </c>
      <c r="E20" s="5">
        <f>C20-D20</f>
        <v>159929</v>
      </c>
      <c r="F20" s="6" t="s">
        <v>23</v>
      </c>
      <c r="G20" s="6" t="s">
        <v>24</v>
      </c>
    </row>
    <row r="21" spans="1:7" x14ac:dyDescent="0.3">
      <c r="A21" s="4" t="s">
        <v>62</v>
      </c>
      <c r="B21" s="4" t="s">
        <v>63</v>
      </c>
      <c r="C21" s="5">
        <f>SUMIFS(日記簿!$F$2:$F$1000,日記簿!$D$2:$D$1000,A21)</f>
        <v>0</v>
      </c>
      <c r="D21" s="5">
        <f>SUMIFS(日記簿!$G$2:$G$1000,日記簿!$D$2:$D$1000,A21)</f>
        <v>0</v>
      </c>
      <c r="E21" s="5">
        <f>D21-C21</f>
        <v>0</v>
      </c>
      <c r="F21" s="6" t="s">
        <v>23</v>
      </c>
      <c r="G21" s="6" t="s">
        <v>24</v>
      </c>
    </row>
    <row r="22" spans="1:7" x14ac:dyDescent="0.3">
      <c r="A22" s="4" t="s">
        <v>64</v>
      </c>
      <c r="B22" s="4" t="s">
        <v>65</v>
      </c>
      <c r="C22" s="5">
        <f>SUMIFS(日記簿!$F$2:$F$1000,日記簿!$D$2:$D$1000,A22)</f>
        <v>0</v>
      </c>
      <c r="D22" s="5">
        <f>SUMIFS(日記簿!$G$2:$G$1000,日記簿!$D$2:$D$1000,A22)</f>
        <v>0</v>
      </c>
      <c r="E22" s="5">
        <f t="shared" ref="E22:E29" si="1">C22-D22</f>
        <v>0</v>
      </c>
      <c r="F22" s="6" t="s">
        <v>23</v>
      </c>
      <c r="G22" s="6" t="s">
        <v>24</v>
      </c>
    </row>
    <row r="23" spans="1:7" x14ac:dyDescent="0.3">
      <c r="A23" s="4" t="s">
        <v>66</v>
      </c>
      <c r="B23" s="4" t="s">
        <v>67</v>
      </c>
      <c r="C23" s="5">
        <f>SUMIFS(日記簿!$F$2:$F$1000,日記簿!$D$2:$D$1000,A23)</f>
        <v>0</v>
      </c>
      <c r="D23" s="5">
        <f>SUMIFS(日記簿!$G$2:$G$1000,日記簿!$D$2:$D$1000,A23)</f>
        <v>0</v>
      </c>
      <c r="E23" s="5">
        <f t="shared" si="1"/>
        <v>0</v>
      </c>
      <c r="F23" s="6" t="s">
        <v>23</v>
      </c>
      <c r="G23" s="6" t="s">
        <v>24</v>
      </c>
    </row>
    <row r="24" spans="1:7" x14ac:dyDescent="0.3">
      <c r="A24" s="4" t="s">
        <v>68</v>
      </c>
      <c r="B24" s="4" t="s">
        <v>69</v>
      </c>
      <c r="C24" s="5">
        <f>SUMIFS(日記簿!$F$2:$F$1000,日記簿!$D$2:$D$1000,A24)</f>
        <v>0</v>
      </c>
      <c r="D24" s="5">
        <f>SUMIFS(日記簿!$G$2:$G$1000,日記簿!$D$2:$D$1000,A24)</f>
        <v>0</v>
      </c>
      <c r="E24" s="5">
        <f t="shared" si="1"/>
        <v>0</v>
      </c>
      <c r="F24" s="6" t="s">
        <v>23</v>
      </c>
      <c r="G24" s="6" t="s">
        <v>24</v>
      </c>
    </row>
    <row r="25" spans="1:7" x14ac:dyDescent="0.3">
      <c r="A25" s="4" t="s">
        <v>70</v>
      </c>
      <c r="B25" s="4" t="s">
        <v>71</v>
      </c>
      <c r="C25" s="5">
        <f>SUMIFS(日記簿!$F$2:$F$1000,日記簿!$D$2:$D$1000,A25)</f>
        <v>0</v>
      </c>
      <c r="D25" s="5">
        <f>SUMIFS(日記簿!$G$2:$G$1000,日記簿!$D$2:$D$1000,A25)</f>
        <v>0</v>
      </c>
      <c r="E25" s="5">
        <f t="shared" si="1"/>
        <v>0</v>
      </c>
      <c r="F25" s="6" t="s">
        <v>23</v>
      </c>
      <c r="G25" s="6" t="s">
        <v>24</v>
      </c>
    </row>
    <row r="26" spans="1:7" x14ac:dyDescent="0.3">
      <c r="A26" s="4" t="s">
        <v>72</v>
      </c>
      <c r="B26" s="4" t="s">
        <v>73</v>
      </c>
      <c r="C26" s="5">
        <f>SUMIFS(日記簿!$F$2:$F$1000,日記簿!$D$2:$D$1000,A26)</f>
        <v>0</v>
      </c>
      <c r="D26" s="5">
        <f>SUMIFS(日記簿!$G$2:$G$1000,日記簿!$D$2:$D$1000,A26)</f>
        <v>0</v>
      </c>
      <c r="E26" s="5">
        <f t="shared" si="1"/>
        <v>0</v>
      </c>
      <c r="F26" s="6" t="s">
        <v>23</v>
      </c>
      <c r="G26" s="6" t="s">
        <v>24</v>
      </c>
    </row>
    <row r="27" spans="1:7" x14ac:dyDescent="0.3">
      <c r="A27" s="4" t="s">
        <v>74</v>
      </c>
      <c r="B27" s="4" t="s">
        <v>75</v>
      </c>
      <c r="C27" s="5">
        <f>SUMIFS(日記簿!$F$2:$F$1000,日記簿!$D$2:$D$1000,A27)</f>
        <v>0</v>
      </c>
      <c r="D27" s="5">
        <f>SUMIFS(日記簿!$G$2:$G$1000,日記簿!$D$2:$D$1000,A27)</f>
        <v>0</v>
      </c>
      <c r="E27" s="5">
        <f t="shared" si="1"/>
        <v>0</v>
      </c>
      <c r="F27" s="6" t="s">
        <v>23</v>
      </c>
      <c r="G27" s="6" t="s">
        <v>24</v>
      </c>
    </row>
    <row r="28" spans="1:7" x14ac:dyDescent="0.3">
      <c r="A28" s="4" t="s">
        <v>76</v>
      </c>
      <c r="B28" s="4" t="s">
        <v>77</v>
      </c>
      <c r="C28" s="5">
        <f>SUMIFS(日記簿!$F$2:$F$1000,日記簿!$D$2:$D$1000,A28)</f>
        <v>0</v>
      </c>
      <c r="D28" s="5">
        <f>SUMIFS(日記簿!$G$2:$G$1000,日記簿!$D$2:$D$1000,A28)</f>
        <v>0</v>
      </c>
      <c r="E28" s="5">
        <f t="shared" si="1"/>
        <v>0</v>
      </c>
      <c r="F28" s="6" t="s">
        <v>23</v>
      </c>
      <c r="G28" s="6" t="s">
        <v>24</v>
      </c>
    </row>
    <row r="29" spans="1:7" x14ac:dyDescent="0.3">
      <c r="A29" s="4" t="s">
        <v>78</v>
      </c>
      <c r="B29" s="4" t="s">
        <v>79</v>
      </c>
      <c r="C29" s="5">
        <f>SUMIFS(日記簿!$F$2:$F$1000,日記簿!$D$2:$D$1000,A29)</f>
        <v>0</v>
      </c>
      <c r="D29" s="5">
        <f>SUMIFS(日記簿!$G$2:$G$1000,日記簿!$D$2:$D$1000,A29)</f>
        <v>0</v>
      </c>
      <c r="E29" s="5">
        <f t="shared" si="1"/>
        <v>0</v>
      </c>
      <c r="F29" s="6" t="s">
        <v>23</v>
      </c>
      <c r="G29" s="6" t="s">
        <v>24</v>
      </c>
    </row>
    <row r="30" spans="1:7" x14ac:dyDescent="0.3">
      <c r="A30" s="4" t="s">
        <v>80</v>
      </c>
      <c r="B30" s="4" t="s">
        <v>81</v>
      </c>
      <c r="C30" s="5">
        <f>SUMIFS(日記簿!$F$2:$F$1000,日記簿!$D$2:$D$1000,A30)</f>
        <v>0</v>
      </c>
      <c r="D30" s="5">
        <f>SUMIFS(日記簿!$G$2:$G$1000,日記簿!$D$2:$D$1000,A30)</f>
        <v>0</v>
      </c>
      <c r="E30" s="5">
        <f>D30-C30</f>
        <v>0</v>
      </c>
      <c r="F30" s="6" t="s">
        <v>23</v>
      </c>
      <c r="G30" s="6" t="s">
        <v>24</v>
      </c>
    </row>
    <row r="31" spans="1:7" x14ac:dyDescent="0.3">
      <c r="A31" s="4" t="s">
        <v>82</v>
      </c>
      <c r="B31" s="4" t="s">
        <v>83</v>
      </c>
      <c r="C31" s="5">
        <f>SUMIFS(日記簿!$F$2:$F$1000,日記簿!$D$2:$D$1000,A31)</f>
        <v>0</v>
      </c>
      <c r="D31" s="5">
        <f>SUMIFS(日記簿!$G$2:$G$1000,日記簿!$D$2:$D$1000,A31)</f>
        <v>0</v>
      </c>
      <c r="E31" s="5">
        <f t="shared" ref="E31:E41" si="2">C31-D31</f>
        <v>0</v>
      </c>
      <c r="F31" s="6" t="s">
        <v>23</v>
      </c>
      <c r="G31" s="6" t="s">
        <v>24</v>
      </c>
    </row>
    <row r="32" spans="1:7" x14ac:dyDescent="0.3">
      <c r="A32" s="4" t="s">
        <v>84</v>
      </c>
      <c r="B32" s="4" t="s">
        <v>85</v>
      </c>
      <c r="C32" s="5">
        <f>SUMIFS(日記簿!$F$2:$F$1000,日記簿!$D$2:$D$1000,A32)</f>
        <v>0</v>
      </c>
      <c r="D32" s="5">
        <f>SUMIFS(日記簿!$G$2:$G$1000,日記簿!$D$2:$D$1000,A32)</f>
        <v>0</v>
      </c>
      <c r="E32" s="5">
        <f t="shared" si="2"/>
        <v>0</v>
      </c>
      <c r="F32" s="6" t="s">
        <v>23</v>
      </c>
      <c r="G32" s="6" t="s">
        <v>24</v>
      </c>
    </row>
    <row r="33" spans="1:7" x14ac:dyDescent="0.3">
      <c r="A33" s="4" t="s">
        <v>86</v>
      </c>
      <c r="B33" s="4" t="s">
        <v>87</v>
      </c>
      <c r="C33" s="5">
        <f>SUMIFS(日記簿!$F$2:$F$1000,日記簿!$D$2:$D$1000,A33)</f>
        <v>0</v>
      </c>
      <c r="D33" s="5">
        <f>SUMIFS(日記簿!$G$2:$G$1000,日記簿!$D$2:$D$1000,A33)</f>
        <v>0</v>
      </c>
      <c r="E33" s="5">
        <f t="shared" si="2"/>
        <v>0</v>
      </c>
      <c r="F33" s="6" t="s">
        <v>23</v>
      </c>
      <c r="G33" s="6" t="s">
        <v>24</v>
      </c>
    </row>
    <row r="34" spans="1:7" x14ac:dyDescent="0.3">
      <c r="A34" s="4" t="s">
        <v>88</v>
      </c>
      <c r="B34" s="4" t="s">
        <v>89</v>
      </c>
      <c r="C34" s="5">
        <f>SUMIFS(日記簿!$F$2:$F$1000,日記簿!$D$2:$D$1000,A34)</f>
        <v>76948</v>
      </c>
      <c r="D34" s="5">
        <f>SUMIFS(日記簿!$G$2:$G$1000,日記簿!$D$2:$D$1000,A34)</f>
        <v>60435</v>
      </c>
      <c r="E34" s="5">
        <f t="shared" si="2"/>
        <v>16513</v>
      </c>
      <c r="F34" s="6" t="s">
        <v>23</v>
      </c>
      <c r="G34" s="6" t="s">
        <v>24</v>
      </c>
    </row>
    <row r="35" spans="1:7" x14ac:dyDescent="0.3">
      <c r="A35" s="4" t="s">
        <v>90</v>
      </c>
      <c r="B35" s="4" t="s">
        <v>91</v>
      </c>
      <c r="C35" s="5">
        <f>SUMIFS(日記簿!$F$2:$F$1000,日記簿!$D$2:$D$1000,A35)</f>
        <v>0</v>
      </c>
      <c r="D35" s="5">
        <f>SUMIFS(日記簿!$G$2:$G$1000,日記簿!$D$2:$D$1000,A35)</f>
        <v>0</v>
      </c>
      <c r="E35" s="5">
        <f t="shared" si="2"/>
        <v>0</v>
      </c>
      <c r="F35" s="6" t="s">
        <v>23</v>
      </c>
      <c r="G35" s="6" t="s">
        <v>24</v>
      </c>
    </row>
    <row r="36" spans="1:7" x14ac:dyDescent="0.3">
      <c r="A36" s="4" t="s">
        <v>92</v>
      </c>
      <c r="B36" s="4" t="s">
        <v>93</v>
      </c>
      <c r="C36" s="5">
        <f>SUMIFS(日記簿!$F$2:$F$1000,日記簿!$D$2:$D$1000,A36)</f>
        <v>0</v>
      </c>
      <c r="D36" s="5">
        <f>SUMIFS(日記簿!$G$2:$G$1000,日記簿!$D$2:$D$1000,A36)</f>
        <v>0</v>
      </c>
      <c r="E36" s="5">
        <f t="shared" si="2"/>
        <v>0</v>
      </c>
      <c r="F36" s="6" t="s">
        <v>23</v>
      </c>
      <c r="G36" s="6" t="s">
        <v>24</v>
      </c>
    </row>
    <row r="37" spans="1:7" x14ac:dyDescent="0.3">
      <c r="A37" s="4" t="s">
        <v>94</v>
      </c>
      <c r="B37" s="4" t="s">
        <v>95</v>
      </c>
      <c r="C37" s="5">
        <f>SUMIFS(日記簿!$F$2:$F$1000,日記簿!$D$2:$D$1000,A37)</f>
        <v>0</v>
      </c>
      <c r="D37" s="5">
        <f>SUMIFS(日記簿!$G$2:$G$1000,日記簿!$D$2:$D$1000,A37)</f>
        <v>0</v>
      </c>
      <c r="E37" s="5">
        <f t="shared" si="2"/>
        <v>0</v>
      </c>
      <c r="F37" s="6" t="s">
        <v>23</v>
      </c>
      <c r="G37" s="6" t="s">
        <v>24</v>
      </c>
    </row>
    <row r="38" spans="1:7" x14ac:dyDescent="0.3">
      <c r="A38" s="4" t="s">
        <v>96</v>
      </c>
      <c r="B38" s="4" t="s">
        <v>97</v>
      </c>
      <c r="C38" s="5">
        <f>SUMIFS(日記簿!$F$2:$F$1000,日記簿!$D$2:$D$1000,A38)</f>
        <v>2</v>
      </c>
      <c r="D38" s="5">
        <f>SUMIFS(日記簿!$G$2:$G$1000,日記簿!$D$2:$D$1000,A38)</f>
        <v>2</v>
      </c>
      <c r="E38" s="5">
        <f t="shared" si="2"/>
        <v>0</v>
      </c>
      <c r="F38" s="6" t="s">
        <v>23</v>
      </c>
      <c r="G38" s="6" t="s">
        <v>24</v>
      </c>
    </row>
    <row r="39" spans="1:7" x14ac:dyDescent="0.3">
      <c r="A39" s="4" t="s">
        <v>98</v>
      </c>
      <c r="B39" s="4" t="s">
        <v>99</v>
      </c>
      <c r="C39" s="5">
        <f>SUMIFS(日記簿!$F$2:$F$1000,日記簿!$D$2:$D$1000,A39)</f>
        <v>0</v>
      </c>
      <c r="D39" s="5">
        <f>SUMIFS(日記簿!$G$2:$G$1000,日記簿!$D$2:$D$1000,A39)</f>
        <v>0</v>
      </c>
      <c r="E39" s="5">
        <f t="shared" si="2"/>
        <v>0</v>
      </c>
      <c r="F39" s="6" t="s">
        <v>23</v>
      </c>
      <c r="G39" s="6" t="s">
        <v>24</v>
      </c>
    </row>
    <row r="40" spans="1:7" x14ac:dyDescent="0.3">
      <c r="A40" s="4" t="s">
        <v>100</v>
      </c>
      <c r="B40" s="4" t="s">
        <v>101</v>
      </c>
      <c r="C40" s="5">
        <f>SUMIFS(日記簿!$F$2:$F$1000,日記簿!$D$2:$D$1000,A40)</f>
        <v>0</v>
      </c>
      <c r="D40" s="5">
        <f>SUMIFS(日記簿!$G$2:$G$1000,日記簿!$D$2:$D$1000,A40)</f>
        <v>0</v>
      </c>
      <c r="E40" s="5">
        <f t="shared" si="2"/>
        <v>0</v>
      </c>
      <c r="F40" s="6" t="s">
        <v>23</v>
      </c>
      <c r="G40" s="6" t="s">
        <v>24</v>
      </c>
    </row>
    <row r="41" spans="1:7" x14ac:dyDescent="0.3">
      <c r="A41" s="4" t="s">
        <v>102</v>
      </c>
      <c r="B41" s="4" t="s">
        <v>103</v>
      </c>
      <c r="C41" s="5">
        <f>SUMIFS(日記簿!$F$2:$F$1000,日記簿!$D$2:$D$1000,A41)</f>
        <v>0</v>
      </c>
      <c r="D41" s="5">
        <f>SUMIFS(日記簿!$G$2:$G$1000,日記簿!$D$2:$D$1000,A41)</f>
        <v>0</v>
      </c>
      <c r="E41" s="5">
        <f t="shared" si="2"/>
        <v>0</v>
      </c>
      <c r="F41" s="6" t="s">
        <v>23</v>
      </c>
      <c r="G41" s="6" t="s">
        <v>24</v>
      </c>
    </row>
    <row r="42" spans="1:7" x14ac:dyDescent="0.3">
      <c r="A42" s="4" t="s">
        <v>104</v>
      </c>
      <c r="B42" s="4" t="s">
        <v>105</v>
      </c>
      <c r="C42" s="5">
        <f>SUMIFS(日記簿!$F$2:$F$1000,日記簿!$D$2:$D$1000,A42)</f>
        <v>0</v>
      </c>
      <c r="D42" s="5">
        <f>SUMIFS(日記簿!$G$2:$G$1000,日記簿!$D$2:$D$1000,A42)</f>
        <v>0</v>
      </c>
      <c r="E42" s="5">
        <f>D42-C42</f>
        <v>0</v>
      </c>
      <c r="F42" s="6" t="s">
        <v>23</v>
      </c>
      <c r="G42" s="6" t="s">
        <v>106</v>
      </c>
    </row>
    <row r="43" spans="1:7" x14ac:dyDescent="0.3">
      <c r="A43" s="4" t="s">
        <v>107</v>
      </c>
      <c r="B43" s="4" t="s">
        <v>108</v>
      </c>
      <c r="C43" s="5">
        <f>SUMIFS(日記簿!$F$2:$F$1000,日記簿!$D$2:$D$1000,A43)</f>
        <v>0</v>
      </c>
      <c r="D43" s="5">
        <f>SUMIFS(日記簿!$G$2:$G$1000,日記簿!$D$2:$D$1000,A43)</f>
        <v>0</v>
      </c>
      <c r="E43" s="5">
        <f t="shared" ref="E43:E48" si="3">C43-D43</f>
        <v>0</v>
      </c>
      <c r="F43" s="6" t="s">
        <v>23</v>
      </c>
      <c r="G43" s="6" t="s">
        <v>106</v>
      </c>
    </row>
    <row r="44" spans="1:7" x14ac:dyDescent="0.3">
      <c r="A44" s="4" t="s">
        <v>109</v>
      </c>
      <c r="B44" s="4" t="s">
        <v>110</v>
      </c>
      <c r="C44" s="5">
        <f>SUMIFS(日記簿!$F$2:$F$1000,日記簿!$D$2:$D$1000,A44)</f>
        <v>0</v>
      </c>
      <c r="D44" s="5">
        <f>SUMIFS(日記簿!$G$2:$G$1000,日記簿!$D$2:$D$1000,A44)</f>
        <v>0</v>
      </c>
      <c r="E44" s="5">
        <f t="shared" si="3"/>
        <v>0</v>
      </c>
      <c r="F44" s="6" t="s">
        <v>23</v>
      </c>
      <c r="G44" s="6" t="s">
        <v>106</v>
      </c>
    </row>
    <row r="45" spans="1:7" x14ac:dyDescent="0.3">
      <c r="A45" s="4" t="s">
        <v>111</v>
      </c>
      <c r="B45" s="4" t="s">
        <v>112</v>
      </c>
      <c r="C45" s="5">
        <f>SUMIFS(日記簿!$F$2:$F$1000,日記簿!$D$2:$D$1000,A45)</f>
        <v>0</v>
      </c>
      <c r="D45" s="5">
        <f>SUMIFS(日記簿!$G$2:$G$1000,日記簿!$D$2:$D$1000,A45)</f>
        <v>0</v>
      </c>
      <c r="E45" s="5">
        <f t="shared" si="3"/>
        <v>0</v>
      </c>
      <c r="F45" s="6" t="s">
        <v>23</v>
      </c>
      <c r="G45" s="6" t="s">
        <v>106</v>
      </c>
    </row>
    <row r="46" spans="1:7" x14ac:dyDescent="0.3">
      <c r="A46" s="4" t="s">
        <v>113</v>
      </c>
      <c r="B46" s="4" t="s">
        <v>114</v>
      </c>
      <c r="C46" s="5">
        <f>SUMIFS(日記簿!$F$2:$F$1000,日記簿!$D$2:$D$1000,A46)</f>
        <v>0</v>
      </c>
      <c r="D46" s="5">
        <f>SUMIFS(日記簿!$G$2:$G$1000,日記簿!$D$2:$D$1000,A46)</f>
        <v>0</v>
      </c>
      <c r="E46" s="5">
        <f t="shared" si="3"/>
        <v>0</v>
      </c>
      <c r="F46" s="6" t="s">
        <v>23</v>
      </c>
      <c r="G46" s="6" t="s">
        <v>106</v>
      </c>
    </row>
    <row r="47" spans="1:7" x14ac:dyDescent="0.3">
      <c r="A47" s="4" t="s">
        <v>115</v>
      </c>
      <c r="B47" s="4" t="s">
        <v>116</v>
      </c>
      <c r="C47" s="5">
        <f>SUMIFS(日記簿!$F$2:$F$1000,日記簿!$D$2:$D$1000,A47)</f>
        <v>0</v>
      </c>
      <c r="D47" s="5">
        <f>SUMIFS(日記簿!$G$2:$G$1000,日記簿!$D$2:$D$1000,A47)</f>
        <v>0</v>
      </c>
      <c r="E47" s="5">
        <f t="shared" si="3"/>
        <v>0</v>
      </c>
      <c r="F47" s="6" t="s">
        <v>23</v>
      </c>
      <c r="G47" s="6" t="s">
        <v>106</v>
      </c>
    </row>
    <row r="48" spans="1:7" x14ac:dyDescent="0.3">
      <c r="A48" s="4" t="s">
        <v>117</v>
      </c>
      <c r="B48" s="4" t="s">
        <v>118</v>
      </c>
      <c r="C48" s="5">
        <f>SUMIFS(日記簿!$F$2:$F$1000,日記簿!$D$2:$D$1000,A48)</f>
        <v>0</v>
      </c>
      <c r="D48" s="5">
        <f>SUMIFS(日記簿!$G$2:$G$1000,日記簿!$D$2:$D$1000,A48)</f>
        <v>0</v>
      </c>
      <c r="E48" s="5">
        <f t="shared" si="3"/>
        <v>0</v>
      </c>
      <c r="F48" s="6" t="s">
        <v>23</v>
      </c>
      <c r="G48" s="6" t="s">
        <v>106</v>
      </c>
    </row>
    <row r="49" spans="1:7" x14ac:dyDescent="0.3">
      <c r="A49" s="4" t="s">
        <v>119</v>
      </c>
      <c r="B49" s="4" t="s">
        <v>120</v>
      </c>
      <c r="C49" s="5">
        <f>SUMIFS(日記簿!$F$2:$F$1000,日記簿!$D$2:$D$1000,A49)</f>
        <v>0</v>
      </c>
      <c r="D49" s="5">
        <f>SUMIFS(日記簿!$G$2:$G$1000,日記簿!$D$2:$D$1000,A49)</f>
        <v>0</v>
      </c>
      <c r="E49" s="5">
        <f>D49-C49</f>
        <v>0</v>
      </c>
      <c r="F49" s="6" t="s">
        <v>23</v>
      </c>
      <c r="G49" s="6" t="s">
        <v>106</v>
      </c>
    </row>
    <row r="50" spans="1:7" x14ac:dyDescent="0.3">
      <c r="A50" s="4" t="s">
        <v>121</v>
      </c>
      <c r="B50" s="4" t="s">
        <v>122</v>
      </c>
      <c r="C50" s="5">
        <f>SUMIFS(日記簿!$F$2:$F$1000,日記簿!$D$2:$D$1000,A50)</f>
        <v>0</v>
      </c>
      <c r="D50" s="5">
        <f>SUMIFS(日記簿!$G$2:$G$1000,日記簿!$D$2:$D$1000,A50)</f>
        <v>0</v>
      </c>
      <c r="E50" s="5">
        <f>C50-D50</f>
        <v>0</v>
      </c>
      <c r="F50" s="6" t="s">
        <v>23</v>
      </c>
      <c r="G50" s="6" t="s">
        <v>106</v>
      </c>
    </row>
    <row r="51" spans="1:7" x14ac:dyDescent="0.3">
      <c r="A51" s="4" t="s">
        <v>123</v>
      </c>
      <c r="B51" s="4" t="s">
        <v>124</v>
      </c>
      <c r="C51" s="5">
        <f>SUMIFS(日記簿!$F$2:$F$1000,日記簿!$D$2:$D$1000,A51)</f>
        <v>0</v>
      </c>
      <c r="D51" s="5">
        <f>SUMIFS(日記簿!$G$2:$G$1000,日記簿!$D$2:$D$1000,A51)</f>
        <v>0</v>
      </c>
      <c r="E51" s="5">
        <f>D51-C51</f>
        <v>0</v>
      </c>
      <c r="F51" s="6" t="s">
        <v>23</v>
      </c>
      <c r="G51" s="6" t="s">
        <v>106</v>
      </c>
    </row>
    <row r="52" spans="1:7" x14ac:dyDescent="0.3">
      <c r="A52" s="4" t="s">
        <v>125</v>
      </c>
      <c r="B52" s="4" t="s">
        <v>126</v>
      </c>
      <c r="C52" s="5">
        <f>SUMIFS(日記簿!$F$2:$F$1000,日記簿!$D$2:$D$1000,A52)</f>
        <v>0</v>
      </c>
      <c r="D52" s="5">
        <f>SUMIFS(日記簿!$G$2:$G$1000,日記簿!$D$2:$D$1000,A52)</f>
        <v>0</v>
      </c>
      <c r="E52" s="5">
        <f>C52-D52</f>
        <v>0</v>
      </c>
      <c r="F52" s="6" t="s">
        <v>23</v>
      </c>
      <c r="G52" s="6" t="s">
        <v>106</v>
      </c>
    </row>
    <row r="53" spans="1:7" x14ac:dyDescent="0.3">
      <c r="A53" s="4" t="s">
        <v>127</v>
      </c>
      <c r="B53" s="4" t="s">
        <v>128</v>
      </c>
      <c r="C53" s="5">
        <f>SUMIFS(日記簿!$F$2:$F$1000,日記簿!$D$2:$D$1000,A53)</f>
        <v>0</v>
      </c>
      <c r="D53" s="5">
        <f>SUMIFS(日記簿!$G$2:$G$1000,日記簿!$D$2:$D$1000,A53)</f>
        <v>0</v>
      </c>
      <c r="E53" s="5">
        <f>D53-C53</f>
        <v>0</v>
      </c>
      <c r="F53" s="6" t="s">
        <v>23</v>
      </c>
      <c r="G53" s="6" t="s">
        <v>106</v>
      </c>
    </row>
    <row r="54" spans="1:7" x14ac:dyDescent="0.3">
      <c r="A54" s="4" t="s">
        <v>129</v>
      </c>
      <c r="B54" s="4" t="s">
        <v>130</v>
      </c>
      <c r="C54" s="5">
        <f>SUMIFS(日記簿!$F$2:$F$1000,日記簿!$D$2:$D$1000,A54)</f>
        <v>0</v>
      </c>
      <c r="D54" s="5">
        <f>SUMIFS(日記簿!$G$2:$G$1000,日記簿!$D$2:$D$1000,A54)</f>
        <v>0</v>
      </c>
      <c r="E54" s="5">
        <f>C54-D54</f>
        <v>0</v>
      </c>
      <c r="F54" s="6" t="s">
        <v>23</v>
      </c>
      <c r="G54" s="6" t="s">
        <v>106</v>
      </c>
    </row>
    <row r="55" spans="1:7" x14ac:dyDescent="0.3">
      <c r="A55" s="4" t="s">
        <v>131</v>
      </c>
      <c r="B55" s="4" t="s">
        <v>132</v>
      </c>
      <c r="C55" s="5">
        <f>SUMIFS(日記簿!$F$2:$F$1000,日記簿!$D$2:$D$1000,A55)</f>
        <v>0</v>
      </c>
      <c r="D55" s="5">
        <f>SUMIFS(日記簿!$G$2:$G$1000,日記簿!$D$2:$D$1000,A55)</f>
        <v>0</v>
      </c>
      <c r="E55" s="5">
        <f>D55-C55</f>
        <v>0</v>
      </c>
      <c r="F55" s="6" t="s">
        <v>23</v>
      </c>
      <c r="G55" s="6" t="s">
        <v>106</v>
      </c>
    </row>
    <row r="56" spans="1:7" x14ac:dyDescent="0.3">
      <c r="A56" s="4" t="s">
        <v>133</v>
      </c>
      <c r="B56" s="4" t="s">
        <v>134</v>
      </c>
      <c r="C56" s="5">
        <f>SUMIFS(日記簿!$F$2:$F$1000,日記簿!$D$2:$D$1000,A56)</f>
        <v>0</v>
      </c>
      <c r="D56" s="5">
        <f>SUMIFS(日記簿!$G$2:$G$1000,日記簿!$D$2:$D$1000,A56)</f>
        <v>0</v>
      </c>
      <c r="E56" s="5">
        <f>D56-C56</f>
        <v>0</v>
      </c>
      <c r="F56" s="6" t="s">
        <v>23</v>
      </c>
      <c r="G56" s="6" t="s">
        <v>106</v>
      </c>
    </row>
    <row r="57" spans="1:7" x14ac:dyDescent="0.3">
      <c r="A57" s="4" t="s">
        <v>135</v>
      </c>
      <c r="B57" s="4" t="s">
        <v>136</v>
      </c>
      <c r="C57" s="5">
        <f>SUMIFS(日記簿!$F$2:$F$1000,日記簿!$D$2:$D$1000,A57)</f>
        <v>0</v>
      </c>
      <c r="D57" s="5">
        <f>SUMIFS(日記簿!$G$2:$G$1000,日記簿!$D$2:$D$1000,A57)</f>
        <v>0</v>
      </c>
      <c r="E57" s="5">
        <f>C57-D57</f>
        <v>0</v>
      </c>
      <c r="F57" s="6" t="s">
        <v>23</v>
      </c>
      <c r="G57" s="6" t="s">
        <v>106</v>
      </c>
    </row>
    <row r="58" spans="1:7" x14ac:dyDescent="0.3">
      <c r="A58" s="4" t="s">
        <v>137</v>
      </c>
      <c r="B58" s="4" t="s">
        <v>138</v>
      </c>
      <c r="C58" s="5">
        <f>SUMIFS(日記簿!$F$2:$F$1000,日記簿!$D$2:$D$1000,A58)</f>
        <v>0</v>
      </c>
      <c r="D58" s="5">
        <f>SUMIFS(日記簿!$G$2:$G$1000,日記簿!$D$2:$D$1000,A58)</f>
        <v>0</v>
      </c>
      <c r="E58" s="5">
        <f>D58-C58</f>
        <v>0</v>
      </c>
      <c r="F58" s="6" t="s">
        <v>23</v>
      </c>
      <c r="G58" s="6" t="s">
        <v>106</v>
      </c>
    </row>
    <row r="59" spans="1:7" x14ac:dyDescent="0.3">
      <c r="A59" s="4" t="s">
        <v>139</v>
      </c>
      <c r="B59" s="4" t="s">
        <v>140</v>
      </c>
      <c r="C59" s="5">
        <f>SUMIFS(日記簿!$F$2:$F$1000,日記簿!$D$2:$D$1000,A59)</f>
        <v>0</v>
      </c>
      <c r="D59" s="5">
        <f>SUMIFS(日記簿!$G$2:$G$1000,日記簿!$D$2:$D$1000,A59)</f>
        <v>0</v>
      </c>
      <c r="E59" s="5">
        <f>D59-C59</f>
        <v>0</v>
      </c>
      <c r="F59" s="6" t="s">
        <v>23</v>
      </c>
      <c r="G59" s="6" t="s">
        <v>106</v>
      </c>
    </row>
    <row r="60" spans="1:7" x14ac:dyDescent="0.3">
      <c r="A60" s="4" t="s">
        <v>141</v>
      </c>
      <c r="B60" s="4" t="s">
        <v>142</v>
      </c>
      <c r="C60" s="5">
        <f>SUMIFS(日記簿!$F$2:$F$1000,日記簿!$D$2:$D$1000,A60)</f>
        <v>0</v>
      </c>
      <c r="D60" s="5">
        <f>SUMIFS(日記簿!$G$2:$G$1000,日記簿!$D$2:$D$1000,A60)</f>
        <v>0</v>
      </c>
      <c r="E60" s="5">
        <f>C60-D60</f>
        <v>0</v>
      </c>
      <c r="F60" s="6" t="s">
        <v>23</v>
      </c>
      <c r="G60" s="6" t="s">
        <v>106</v>
      </c>
    </row>
    <row r="61" spans="1:7" x14ac:dyDescent="0.3">
      <c r="A61" s="4" t="s">
        <v>143</v>
      </c>
      <c r="B61" s="4" t="s">
        <v>144</v>
      </c>
      <c r="C61" s="5">
        <f>SUMIFS(日記簿!$F$2:$F$1000,日記簿!$D$2:$D$1000,A61)</f>
        <v>0</v>
      </c>
      <c r="D61" s="5">
        <f>SUMIFS(日記簿!$G$2:$G$1000,日記簿!$D$2:$D$1000,A61)</f>
        <v>0</v>
      </c>
      <c r="E61" s="5">
        <f>D61-C61</f>
        <v>0</v>
      </c>
      <c r="F61" s="6" t="s">
        <v>23</v>
      </c>
      <c r="G61" s="6" t="s">
        <v>106</v>
      </c>
    </row>
    <row r="62" spans="1:7" x14ac:dyDescent="0.3">
      <c r="A62" s="4" t="s">
        <v>145</v>
      </c>
      <c r="B62" s="4" t="s">
        <v>146</v>
      </c>
      <c r="C62" s="5">
        <f>SUMIFS(日記簿!$F$2:$F$1000,日記簿!$D$2:$D$1000,A62)</f>
        <v>0</v>
      </c>
      <c r="D62" s="5">
        <f>SUMIFS(日記簿!$G$2:$G$1000,日記簿!$D$2:$D$1000,A62)</f>
        <v>0</v>
      </c>
      <c r="E62" s="5">
        <f>D62-C62</f>
        <v>0</v>
      </c>
      <c r="F62" s="6" t="s">
        <v>23</v>
      </c>
      <c r="G62" s="6" t="s">
        <v>106</v>
      </c>
    </row>
    <row r="63" spans="1:7" x14ac:dyDescent="0.3">
      <c r="A63" s="4" t="s">
        <v>147</v>
      </c>
      <c r="B63" s="4" t="s">
        <v>148</v>
      </c>
      <c r="C63" s="5">
        <f>SUMIFS(日記簿!$F$2:$F$1000,日記簿!$D$2:$D$1000,A63)</f>
        <v>344800</v>
      </c>
      <c r="D63" s="5">
        <f>SUMIFS(日記簿!$G$2:$G$1000,日記簿!$D$2:$D$1000,A63)</f>
        <v>0</v>
      </c>
      <c r="E63" s="5">
        <f>C63-D63</f>
        <v>344800</v>
      </c>
      <c r="F63" s="6" t="s">
        <v>23</v>
      </c>
      <c r="G63" s="6" t="s">
        <v>106</v>
      </c>
    </row>
    <row r="64" spans="1:7" x14ac:dyDescent="0.3">
      <c r="A64" s="4" t="s">
        <v>149</v>
      </c>
      <c r="B64" s="4" t="s">
        <v>150</v>
      </c>
      <c r="C64" s="5">
        <f>SUMIFS(日記簿!$F$2:$F$1000,日記簿!$D$2:$D$1000,A64)</f>
        <v>0</v>
      </c>
      <c r="D64" s="5">
        <f>SUMIFS(日記簿!$G$2:$G$1000,日記簿!$D$2:$D$1000,A64)</f>
        <v>106250</v>
      </c>
      <c r="E64" s="5">
        <f>D64-C64</f>
        <v>106250</v>
      </c>
      <c r="F64" s="6" t="s">
        <v>23</v>
      </c>
      <c r="G64" s="6" t="s">
        <v>106</v>
      </c>
    </row>
    <row r="65" spans="1:7" x14ac:dyDescent="0.3">
      <c r="A65" s="4" t="s">
        <v>151</v>
      </c>
      <c r="B65" s="4" t="s">
        <v>152</v>
      </c>
      <c r="C65" s="5">
        <f>SUMIFS(日記簿!$F$2:$F$1000,日記簿!$D$2:$D$1000,A65)</f>
        <v>0</v>
      </c>
      <c r="D65" s="5">
        <f>SUMIFS(日記簿!$G$2:$G$1000,日記簿!$D$2:$D$1000,A65)</f>
        <v>0</v>
      </c>
      <c r="E65" s="5">
        <f>D65-C65</f>
        <v>0</v>
      </c>
      <c r="F65" s="6" t="s">
        <v>23</v>
      </c>
      <c r="G65" s="6" t="s">
        <v>106</v>
      </c>
    </row>
    <row r="66" spans="1:7" x14ac:dyDescent="0.3">
      <c r="A66" s="4" t="s">
        <v>153</v>
      </c>
      <c r="B66" s="4" t="s">
        <v>154</v>
      </c>
      <c r="C66" s="5">
        <f>SUMIFS(日記簿!$F$2:$F$1000,日記簿!$D$2:$D$1000,A66)</f>
        <v>0</v>
      </c>
      <c r="D66" s="5">
        <f>SUMIFS(日記簿!$G$2:$G$1000,日記簿!$D$2:$D$1000,A66)</f>
        <v>0</v>
      </c>
      <c r="E66" s="5">
        <f>C66-D66</f>
        <v>0</v>
      </c>
      <c r="F66" s="6" t="s">
        <v>23</v>
      </c>
      <c r="G66" s="6" t="s">
        <v>106</v>
      </c>
    </row>
    <row r="67" spans="1:7" x14ac:dyDescent="0.3">
      <c r="A67" s="4" t="s">
        <v>155</v>
      </c>
      <c r="B67" s="4" t="s">
        <v>156</v>
      </c>
      <c r="C67" s="5">
        <f>SUMIFS(日記簿!$F$2:$F$1000,日記簿!$D$2:$D$1000,A67)</f>
        <v>0</v>
      </c>
      <c r="D67" s="5">
        <f>SUMIFS(日記簿!$G$2:$G$1000,日記簿!$D$2:$D$1000,A67)</f>
        <v>0</v>
      </c>
      <c r="E67" s="5">
        <f>C67-D67</f>
        <v>0</v>
      </c>
      <c r="F67" s="6" t="s">
        <v>23</v>
      </c>
      <c r="G67" s="6" t="s">
        <v>106</v>
      </c>
    </row>
    <row r="68" spans="1:7" x14ac:dyDescent="0.3">
      <c r="A68" s="4" t="s">
        <v>157</v>
      </c>
      <c r="B68" s="4" t="s">
        <v>158</v>
      </c>
      <c r="C68" s="5">
        <f>SUMIFS(日記簿!$F$2:$F$1000,日記簿!$D$2:$D$1000,A68)</f>
        <v>0</v>
      </c>
      <c r="D68" s="5">
        <f>SUMIFS(日記簿!$G$2:$G$1000,日記簿!$D$2:$D$1000,A68)</f>
        <v>0</v>
      </c>
      <c r="E68" s="5">
        <f>C68-D68</f>
        <v>0</v>
      </c>
      <c r="F68" s="6" t="s">
        <v>23</v>
      </c>
      <c r="G68" s="6" t="s">
        <v>106</v>
      </c>
    </row>
    <row r="69" spans="1:7" x14ac:dyDescent="0.3">
      <c r="A69" s="4" t="s">
        <v>159</v>
      </c>
      <c r="B69" s="4" t="s">
        <v>160</v>
      </c>
      <c r="C69" s="5">
        <f>SUMIFS(日記簿!$F$2:$F$1000,日記簿!$D$2:$D$1000,A69)</f>
        <v>0</v>
      </c>
      <c r="D69" s="5">
        <f>SUMIFS(日記簿!$G$2:$G$1000,日記簿!$D$2:$D$1000,A69)</f>
        <v>0</v>
      </c>
      <c r="E69" s="5">
        <f>D69-C69</f>
        <v>0</v>
      </c>
      <c r="F69" s="6" t="s">
        <v>23</v>
      </c>
      <c r="G69" s="6" t="s">
        <v>106</v>
      </c>
    </row>
    <row r="70" spans="1:7" x14ac:dyDescent="0.3">
      <c r="A70" s="4" t="s">
        <v>161</v>
      </c>
      <c r="B70" s="4" t="s">
        <v>162</v>
      </c>
      <c r="C70" s="5">
        <f>SUMIFS(日記簿!$F$2:$F$1000,日記簿!$D$2:$D$1000,A70)</f>
        <v>0</v>
      </c>
      <c r="D70" s="5">
        <f>SUMIFS(日記簿!$G$2:$G$1000,日記簿!$D$2:$D$1000,A70)</f>
        <v>0</v>
      </c>
      <c r="E70" s="5">
        <f>D70-C70</f>
        <v>0</v>
      </c>
      <c r="F70" s="6" t="s">
        <v>23</v>
      </c>
      <c r="G70" s="6" t="s">
        <v>106</v>
      </c>
    </row>
    <row r="71" spans="1:7" x14ac:dyDescent="0.3">
      <c r="A71" s="4" t="s">
        <v>163</v>
      </c>
      <c r="B71" s="4" t="s">
        <v>164</v>
      </c>
      <c r="C71" s="5">
        <f>SUMIFS(日記簿!$F$2:$F$1000,日記簿!$D$2:$D$1000,A71)</f>
        <v>0</v>
      </c>
      <c r="D71" s="5">
        <f>SUMIFS(日記簿!$G$2:$G$1000,日記簿!$D$2:$D$1000,A71)</f>
        <v>0</v>
      </c>
      <c r="E71" s="5">
        <f>C71-D71</f>
        <v>0</v>
      </c>
      <c r="F71" s="6" t="s">
        <v>23</v>
      </c>
      <c r="G71" s="6" t="s">
        <v>106</v>
      </c>
    </row>
    <row r="72" spans="1:7" x14ac:dyDescent="0.3">
      <c r="A72" s="4" t="s">
        <v>165</v>
      </c>
      <c r="B72" s="4" t="s">
        <v>166</v>
      </c>
      <c r="C72" s="5">
        <f>SUMIFS(日記簿!$F$2:$F$1000,日記簿!$D$2:$D$1000,A72)</f>
        <v>0</v>
      </c>
      <c r="D72" s="5">
        <f>SUMIFS(日記簿!$G$2:$G$1000,日記簿!$D$2:$D$1000,A72)</f>
        <v>0</v>
      </c>
      <c r="E72" s="5">
        <f>D72-C72</f>
        <v>0</v>
      </c>
      <c r="F72" s="6" t="s">
        <v>23</v>
      </c>
      <c r="G72" s="6" t="s">
        <v>106</v>
      </c>
    </row>
    <row r="73" spans="1:7" x14ac:dyDescent="0.3">
      <c r="A73" s="4" t="s">
        <v>167</v>
      </c>
      <c r="B73" s="4" t="s">
        <v>168</v>
      </c>
      <c r="C73" s="5">
        <f>SUMIFS(日記簿!$F$2:$F$1000,日記簿!$D$2:$D$1000,A73)</f>
        <v>0</v>
      </c>
      <c r="D73" s="5">
        <f>SUMIFS(日記簿!$G$2:$G$1000,日記簿!$D$2:$D$1000,A73)</f>
        <v>0</v>
      </c>
      <c r="E73" s="5">
        <f>C73-D73</f>
        <v>0</v>
      </c>
      <c r="F73" s="6" t="s">
        <v>23</v>
      </c>
      <c r="G73" s="6" t="s">
        <v>106</v>
      </c>
    </row>
    <row r="74" spans="1:7" x14ac:dyDescent="0.3">
      <c r="A74" s="4" t="s">
        <v>169</v>
      </c>
      <c r="B74" s="4" t="s">
        <v>170</v>
      </c>
      <c r="C74" s="5">
        <f>SUMIFS(日記簿!$F$2:$F$1000,日記簿!$D$2:$D$1000,A74)</f>
        <v>0</v>
      </c>
      <c r="D74" s="5">
        <f>SUMIFS(日記簿!$G$2:$G$1000,日記簿!$D$2:$D$1000,A74)</f>
        <v>0</v>
      </c>
      <c r="E74" s="5">
        <f>D74-C74</f>
        <v>0</v>
      </c>
      <c r="F74" s="6" t="s">
        <v>23</v>
      </c>
      <c r="G74" s="6" t="s">
        <v>106</v>
      </c>
    </row>
    <row r="75" spans="1:7" x14ac:dyDescent="0.3">
      <c r="A75" s="4" t="s">
        <v>171</v>
      </c>
      <c r="B75" s="4" t="s">
        <v>172</v>
      </c>
      <c r="C75" s="5">
        <f>SUMIFS(日記簿!$F$2:$F$1000,日記簿!$D$2:$D$1000,A75)</f>
        <v>0</v>
      </c>
      <c r="D75" s="5">
        <f>SUMIFS(日記簿!$G$2:$G$1000,日記簿!$D$2:$D$1000,A75)</f>
        <v>0</v>
      </c>
      <c r="E75" s="5">
        <f>C75-D75</f>
        <v>0</v>
      </c>
      <c r="F75" s="6" t="s">
        <v>23</v>
      </c>
      <c r="G75" s="6" t="s">
        <v>106</v>
      </c>
    </row>
    <row r="76" spans="1:7" x14ac:dyDescent="0.3">
      <c r="A76" s="4" t="s">
        <v>173</v>
      </c>
      <c r="B76" s="4" t="s">
        <v>174</v>
      </c>
      <c r="C76" s="5">
        <f>SUMIFS(日記簿!$F$2:$F$1000,日記簿!$D$2:$D$1000,A76)</f>
        <v>0</v>
      </c>
      <c r="D76" s="5">
        <f>SUMIFS(日記簿!$G$2:$G$1000,日記簿!$D$2:$D$1000,A76)</f>
        <v>0</v>
      </c>
      <c r="E76" s="5">
        <f>D76-C76</f>
        <v>0</v>
      </c>
      <c r="F76" s="6" t="s">
        <v>23</v>
      </c>
      <c r="G76" s="6" t="s">
        <v>106</v>
      </c>
    </row>
    <row r="77" spans="1:7" x14ac:dyDescent="0.3">
      <c r="A77" s="4" t="s">
        <v>175</v>
      </c>
      <c r="B77" s="4" t="s">
        <v>176</v>
      </c>
      <c r="C77" s="5">
        <f>SUMIFS(日記簿!$F$2:$F$1000,日記簿!$D$2:$D$1000,A77)</f>
        <v>0</v>
      </c>
      <c r="D77" s="5">
        <f>SUMIFS(日記簿!$G$2:$G$1000,日記簿!$D$2:$D$1000,A77)</f>
        <v>0</v>
      </c>
      <c r="E77" s="5">
        <f>D77-C77</f>
        <v>0</v>
      </c>
      <c r="F77" s="6" t="s">
        <v>23</v>
      </c>
      <c r="G77" s="6" t="s">
        <v>106</v>
      </c>
    </row>
    <row r="78" spans="1:7" x14ac:dyDescent="0.3">
      <c r="A78" s="4" t="s">
        <v>177</v>
      </c>
      <c r="B78" s="4" t="s">
        <v>178</v>
      </c>
      <c r="C78" s="5">
        <f>SUMIFS(日記簿!$F$2:$F$1000,日記簿!$D$2:$D$1000,A78)</f>
        <v>0</v>
      </c>
      <c r="D78" s="5">
        <f>SUMIFS(日記簿!$G$2:$G$1000,日記簿!$D$2:$D$1000,A78)</f>
        <v>0</v>
      </c>
      <c r="E78" s="5">
        <f>C78-D78</f>
        <v>0</v>
      </c>
      <c r="F78" s="6" t="s">
        <v>23</v>
      </c>
      <c r="G78" s="6" t="s">
        <v>106</v>
      </c>
    </row>
    <row r="79" spans="1:7" x14ac:dyDescent="0.3">
      <c r="A79" s="4" t="s">
        <v>179</v>
      </c>
      <c r="B79" s="4" t="s">
        <v>180</v>
      </c>
      <c r="C79" s="5">
        <f>SUMIFS(日記簿!$F$2:$F$1000,日記簿!$D$2:$D$1000,A79)</f>
        <v>0</v>
      </c>
      <c r="D79" s="5">
        <f>SUMIFS(日記簿!$G$2:$G$1000,日記簿!$D$2:$D$1000,A79)</f>
        <v>0</v>
      </c>
      <c r="E79" s="5">
        <f>D79-C79</f>
        <v>0</v>
      </c>
      <c r="F79" s="6" t="s">
        <v>23</v>
      </c>
      <c r="G79" s="6" t="s">
        <v>106</v>
      </c>
    </row>
    <row r="80" spans="1:7" x14ac:dyDescent="0.3">
      <c r="A80" s="4" t="s">
        <v>181</v>
      </c>
      <c r="B80" s="4" t="s">
        <v>182</v>
      </c>
      <c r="C80" s="5">
        <f>SUMIFS(日記簿!$F$2:$F$1000,日記簿!$D$2:$D$1000,A80)</f>
        <v>0</v>
      </c>
      <c r="D80" s="5">
        <f>SUMIFS(日記簿!$G$2:$G$1000,日記簿!$D$2:$D$1000,A80)</f>
        <v>0</v>
      </c>
      <c r="E80" s="5">
        <f>D80-C80</f>
        <v>0</v>
      </c>
      <c r="F80" s="6" t="s">
        <v>23</v>
      </c>
      <c r="G80" s="6" t="s">
        <v>106</v>
      </c>
    </row>
    <row r="81" spans="1:7" x14ac:dyDescent="0.3">
      <c r="A81" s="4" t="s">
        <v>183</v>
      </c>
      <c r="B81" s="4" t="s">
        <v>184</v>
      </c>
      <c r="C81" s="5">
        <f>SUMIFS(日記簿!$F$2:$F$1000,日記簿!$D$2:$D$1000,A81)</f>
        <v>50000</v>
      </c>
      <c r="D81" s="5">
        <f>SUMIFS(日記簿!$G$2:$G$1000,日記簿!$D$2:$D$1000,A81)</f>
        <v>0</v>
      </c>
      <c r="E81" s="5">
        <f>C81-D81</f>
        <v>50000</v>
      </c>
      <c r="F81" s="6" t="s">
        <v>23</v>
      </c>
      <c r="G81" s="6" t="s">
        <v>106</v>
      </c>
    </row>
    <row r="82" spans="1:7" x14ac:dyDescent="0.3">
      <c r="A82" s="4" t="s">
        <v>185</v>
      </c>
      <c r="B82" s="4" t="s">
        <v>186</v>
      </c>
      <c r="C82" s="5">
        <f>SUMIFS(日記簿!$F$2:$F$1000,日記簿!$D$2:$D$1000,A82)</f>
        <v>0</v>
      </c>
      <c r="D82" s="5">
        <f>SUMIFS(日記簿!$G$2:$G$1000,日記簿!$D$2:$D$1000,A82)</f>
        <v>0</v>
      </c>
      <c r="E82" s="5">
        <f>C82-D82</f>
        <v>0</v>
      </c>
      <c r="F82" s="6" t="s">
        <v>23</v>
      </c>
      <c r="G82" s="6" t="s">
        <v>106</v>
      </c>
    </row>
    <row r="83" spans="1:7" x14ac:dyDescent="0.3">
      <c r="A83" s="4" t="s">
        <v>187</v>
      </c>
      <c r="B83" s="4" t="s">
        <v>188</v>
      </c>
      <c r="C83" s="5">
        <f>SUMIFS(日記簿!$F$2:$F$1000,日記簿!$D$2:$D$1000,A83)</f>
        <v>0</v>
      </c>
      <c r="D83" s="5">
        <f>SUMIFS(日記簿!$G$2:$G$1000,日記簿!$D$2:$D$1000,A83)</f>
        <v>0</v>
      </c>
      <c r="E83" s="5">
        <f>C83-D83</f>
        <v>0</v>
      </c>
      <c r="F83" s="6" t="s">
        <v>23</v>
      </c>
      <c r="G83" s="6" t="s">
        <v>106</v>
      </c>
    </row>
    <row r="84" spans="1:7" x14ac:dyDescent="0.3">
      <c r="A84" s="4" t="s">
        <v>189</v>
      </c>
      <c r="B84" s="4" t="s">
        <v>190</v>
      </c>
      <c r="C84" s="5">
        <f>SUMIFS(日記簿!$F$2:$F$1000,日記簿!$D$2:$D$1000,A84)</f>
        <v>0</v>
      </c>
      <c r="D84" s="5">
        <f>SUMIFS(日記簿!$G$2:$G$1000,日記簿!$D$2:$D$1000,A84)</f>
        <v>0</v>
      </c>
      <c r="E84" s="5">
        <f>C84-D84</f>
        <v>0</v>
      </c>
      <c r="F84" s="6" t="s">
        <v>23</v>
      </c>
      <c r="G84" s="6" t="s">
        <v>106</v>
      </c>
    </row>
    <row r="85" spans="1:7" x14ac:dyDescent="0.3">
      <c r="A85" s="4" t="s">
        <v>191</v>
      </c>
      <c r="B85" s="4" t="s">
        <v>192</v>
      </c>
      <c r="C85" s="5">
        <f>SUMIFS(日記簿!$F$2:$F$1000,日記簿!$D$2:$D$1000,A85)</f>
        <v>0</v>
      </c>
      <c r="D85" s="5">
        <f>SUMIFS(日記簿!$G$2:$G$1000,日記簿!$D$2:$D$1000,A85)</f>
        <v>0</v>
      </c>
      <c r="E85" s="5">
        <f t="shared" ref="E85:E116" si="4">D85-C85</f>
        <v>0</v>
      </c>
      <c r="F85" s="6" t="s">
        <v>193</v>
      </c>
      <c r="G85" s="6" t="s">
        <v>194</v>
      </c>
    </row>
    <row r="86" spans="1:7" x14ac:dyDescent="0.3">
      <c r="A86" s="4" t="s">
        <v>195</v>
      </c>
      <c r="B86" s="4" t="s">
        <v>196</v>
      </c>
      <c r="C86" s="5">
        <f>SUMIFS(日記簿!$F$2:$F$1000,日記簿!$D$2:$D$1000,A86)</f>
        <v>254360</v>
      </c>
      <c r="D86" s="5">
        <f>SUMIFS(日記簿!$G$2:$G$1000,日記簿!$D$2:$D$1000,A86)</f>
        <v>425360</v>
      </c>
      <c r="E86" s="5">
        <f t="shared" si="4"/>
        <v>171000</v>
      </c>
      <c r="F86" s="6" t="s">
        <v>193</v>
      </c>
      <c r="G86" s="6" t="s">
        <v>194</v>
      </c>
    </row>
    <row r="87" spans="1:7" x14ac:dyDescent="0.3">
      <c r="A87" s="4" t="s">
        <v>197</v>
      </c>
      <c r="B87" s="4" t="s">
        <v>198</v>
      </c>
      <c r="C87" s="5">
        <f>SUMIFS(日記簿!$F$2:$F$1000,日記簿!$D$2:$D$1000,A87)</f>
        <v>0</v>
      </c>
      <c r="D87" s="5">
        <f>SUMIFS(日記簿!$G$2:$G$1000,日記簿!$D$2:$D$1000,A87)</f>
        <v>0</v>
      </c>
      <c r="E87" s="5">
        <f t="shared" si="4"/>
        <v>0</v>
      </c>
      <c r="F87" s="6" t="s">
        <v>193</v>
      </c>
      <c r="G87" s="6" t="s">
        <v>194</v>
      </c>
    </row>
    <row r="88" spans="1:7" x14ac:dyDescent="0.3">
      <c r="A88" s="4" t="s">
        <v>199</v>
      </c>
      <c r="B88" s="4" t="s">
        <v>200</v>
      </c>
      <c r="C88" s="5">
        <f>SUMIFS(日記簿!$F$2:$F$1000,日記簿!$D$2:$D$1000,A88)</f>
        <v>0</v>
      </c>
      <c r="D88" s="5">
        <f>SUMIFS(日記簿!$G$2:$G$1000,日記簿!$D$2:$D$1000,A88)</f>
        <v>0</v>
      </c>
      <c r="E88" s="5">
        <f t="shared" si="4"/>
        <v>0</v>
      </c>
      <c r="F88" s="6" t="s">
        <v>193</v>
      </c>
      <c r="G88" s="6" t="s">
        <v>194</v>
      </c>
    </row>
    <row r="89" spans="1:7" x14ac:dyDescent="0.3">
      <c r="A89" s="4" t="s">
        <v>201</v>
      </c>
      <c r="B89" s="4" t="s">
        <v>202</v>
      </c>
      <c r="C89" s="5">
        <f>SUMIFS(日記簿!$F$2:$F$1000,日記簿!$D$2:$D$1000,A89)</f>
        <v>0</v>
      </c>
      <c r="D89" s="5">
        <f>SUMIFS(日記簿!$G$2:$G$1000,日記簿!$D$2:$D$1000,A89)</f>
        <v>0</v>
      </c>
      <c r="E89" s="5">
        <f t="shared" si="4"/>
        <v>0</v>
      </c>
      <c r="F89" s="6" t="s">
        <v>193</v>
      </c>
      <c r="G89" s="6" t="s">
        <v>194</v>
      </c>
    </row>
    <row r="90" spans="1:7" x14ac:dyDescent="0.3">
      <c r="A90" s="4" t="s">
        <v>203</v>
      </c>
      <c r="B90" s="4" t="s">
        <v>204</v>
      </c>
      <c r="C90" s="5">
        <f>SUMIFS(日記簿!$F$2:$F$1000,日記簿!$D$2:$D$1000,A90)</f>
        <v>0</v>
      </c>
      <c r="D90" s="5">
        <f>SUMIFS(日記簿!$G$2:$G$1000,日記簿!$D$2:$D$1000,A90)</f>
        <v>0</v>
      </c>
      <c r="E90" s="5">
        <f t="shared" si="4"/>
        <v>0</v>
      </c>
      <c r="F90" s="6" t="s">
        <v>193</v>
      </c>
      <c r="G90" s="6" t="s">
        <v>194</v>
      </c>
    </row>
    <row r="91" spans="1:7" x14ac:dyDescent="0.3">
      <c r="A91" s="4" t="s">
        <v>205</v>
      </c>
      <c r="B91" s="4" t="s">
        <v>206</v>
      </c>
      <c r="C91" s="5">
        <f>SUMIFS(日記簿!$F$2:$F$1000,日記簿!$D$2:$D$1000,A91)</f>
        <v>0</v>
      </c>
      <c r="D91" s="5">
        <f>SUMIFS(日記簿!$G$2:$G$1000,日記簿!$D$2:$D$1000,A91)</f>
        <v>0</v>
      </c>
      <c r="E91" s="5">
        <f t="shared" si="4"/>
        <v>0</v>
      </c>
      <c r="F91" s="6" t="s">
        <v>193</v>
      </c>
      <c r="G91" s="6" t="s">
        <v>194</v>
      </c>
    </row>
    <row r="92" spans="1:7" x14ac:dyDescent="0.3">
      <c r="A92" s="4" t="s">
        <v>207</v>
      </c>
      <c r="B92" s="4" t="s">
        <v>208</v>
      </c>
      <c r="C92" s="5">
        <f>SUMIFS(日記簿!$F$2:$F$1000,日記簿!$D$2:$D$1000,A92)</f>
        <v>0</v>
      </c>
      <c r="D92" s="5">
        <f>SUMIFS(日記簿!$G$2:$G$1000,日記簿!$D$2:$D$1000,A92)</f>
        <v>0</v>
      </c>
      <c r="E92" s="5">
        <f t="shared" si="4"/>
        <v>0</v>
      </c>
      <c r="F92" s="6" t="s">
        <v>193</v>
      </c>
      <c r="G92" s="6" t="s">
        <v>194</v>
      </c>
    </row>
    <row r="93" spans="1:7" x14ac:dyDescent="0.3">
      <c r="A93" s="4" t="s">
        <v>209</v>
      </c>
      <c r="B93" s="4" t="s">
        <v>210</v>
      </c>
      <c r="C93" s="5">
        <f>SUMIFS(日記簿!$F$2:$F$1000,日記簿!$D$2:$D$1000,A93)</f>
        <v>0</v>
      </c>
      <c r="D93" s="5">
        <f>SUMIFS(日記簿!$G$2:$G$1000,日記簿!$D$2:$D$1000,A93)</f>
        <v>0</v>
      </c>
      <c r="E93" s="5">
        <f t="shared" si="4"/>
        <v>0</v>
      </c>
      <c r="F93" s="6" t="s">
        <v>193</v>
      </c>
      <c r="G93" s="6" t="s">
        <v>194</v>
      </c>
    </row>
    <row r="94" spans="1:7" x14ac:dyDescent="0.3">
      <c r="A94" s="4" t="s">
        <v>211</v>
      </c>
      <c r="B94" s="4" t="s">
        <v>212</v>
      </c>
      <c r="C94" s="5">
        <f>SUMIFS(日記簿!$F$2:$F$1000,日記簿!$D$2:$D$1000,A94)</f>
        <v>0</v>
      </c>
      <c r="D94" s="5">
        <f>SUMIFS(日記簿!$G$2:$G$1000,日記簿!$D$2:$D$1000,A94)</f>
        <v>0</v>
      </c>
      <c r="E94" s="5">
        <f t="shared" si="4"/>
        <v>0</v>
      </c>
      <c r="F94" s="6" t="s">
        <v>193</v>
      </c>
      <c r="G94" s="6" t="s">
        <v>194</v>
      </c>
    </row>
    <row r="95" spans="1:7" x14ac:dyDescent="0.3">
      <c r="A95" s="4" t="s">
        <v>213</v>
      </c>
      <c r="B95" s="4" t="s">
        <v>214</v>
      </c>
      <c r="C95" s="5">
        <f>SUMIFS(日記簿!$F$2:$F$1000,日記簿!$D$2:$D$1000,A95)</f>
        <v>2236844</v>
      </c>
      <c r="D95" s="5">
        <f>SUMIFS(日記簿!$G$2:$G$1000,日記簿!$D$2:$D$1000,A95)</f>
        <v>3335955</v>
      </c>
      <c r="E95" s="5">
        <f t="shared" si="4"/>
        <v>1099111</v>
      </c>
      <c r="F95" s="6" t="s">
        <v>193</v>
      </c>
      <c r="G95" s="6" t="s">
        <v>194</v>
      </c>
    </row>
    <row r="96" spans="1:7" x14ac:dyDescent="0.3">
      <c r="A96" s="4" t="s">
        <v>215</v>
      </c>
      <c r="B96" s="4" t="s">
        <v>216</v>
      </c>
      <c r="C96" s="5">
        <f>SUMIFS(日記簿!$F$2:$F$1000,日記簿!$D$2:$D$1000,A96)</f>
        <v>0</v>
      </c>
      <c r="D96" s="5">
        <f>SUMIFS(日記簿!$G$2:$G$1000,日記簿!$D$2:$D$1000,A96)</f>
        <v>0</v>
      </c>
      <c r="E96" s="5">
        <f t="shared" si="4"/>
        <v>0</v>
      </c>
      <c r="F96" s="6" t="s">
        <v>193</v>
      </c>
      <c r="G96" s="6" t="s">
        <v>194</v>
      </c>
    </row>
    <row r="97" spans="1:7" x14ac:dyDescent="0.3">
      <c r="A97" s="4" t="s">
        <v>217</v>
      </c>
      <c r="B97" s="4" t="s">
        <v>218</v>
      </c>
      <c r="C97" s="5">
        <f>SUMIFS(日記簿!$F$2:$F$1000,日記簿!$D$2:$D$1000,A97)</f>
        <v>0</v>
      </c>
      <c r="D97" s="5">
        <f>SUMIFS(日記簿!$G$2:$G$1000,日記簿!$D$2:$D$1000,A97)</f>
        <v>0</v>
      </c>
      <c r="E97" s="5">
        <f t="shared" si="4"/>
        <v>0</v>
      </c>
      <c r="F97" s="6" t="s">
        <v>193</v>
      </c>
      <c r="G97" s="6" t="s">
        <v>194</v>
      </c>
    </row>
    <row r="98" spans="1:7" x14ac:dyDescent="0.3">
      <c r="A98" s="4" t="s">
        <v>219</v>
      </c>
      <c r="B98" s="4" t="s">
        <v>220</v>
      </c>
      <c r="C98" s="5">
        <f>SUMIFS(日記簿!$F$2:$F$1000,日記簿!$D$2:$D$1000,A98)</f>
        <v>0</v>
      </c>
      <c r="D98" s="5">
        <f>SUMIFS(日記簿!$G$2:$G$1000,日記簿!$D$2:$D$1000,A98)</f>
        <v>0</v>
      </c>
      <c r="E98" s="5">
        <f t="shared" si="4"/>
        <v>0</v>
      </c>
      <c r="F98" s="6" t="s">
        <v>193</v>
      </c>
      <c r="G98" s="6" t="s">
        <v>194</v>
      </c>
    </row>
    <row r="99" spans="1:7" x14ac:dyDescent="0.3">
      <c r="A99" s="4" t="s">
        <v>221</v>
      </c>
      <c r="B99" s="4" t="s">
        <v>222</v>
      </c>
      <c r="C99" s="5">
        <f>SUMIFS(日記簿!$F$2:$F$1000,日記簿!$D$2:$D$1000,A99)</f>
        <v>123259</v>
      </c>
      <c r="D99" s="5">
        <f>SUMIFS(日記簿!$G$2:$G$1000,日記簿!$D$2:$D$1000,A99)</f>
        <v>148328</v>
      </c>
      <c r="E99" s="5">
        <f t="shared" si="4"/>
        <v>25069</v>
      </c>
      <c r="F99" s="6" t="s">
        <v>193</v>
      </c>
      <c r="G99" s="6" t="s">
        <v>194</v>
      </c>
    </row>
    <row r="100" spans="1:7" x14ac:dyDescent="0.3">
      <c r="A100" s="4" t="s">
        <v>223</v>
      </c>
      <c r="B100" s="4" t="s">
        <v>224</v>
      </c>
      <c r="C100" s="5">
        <f>SUMIFS(日記簿!$F$2:$F$1000,日記簿!$D$2:$D$1000,A100)</f>
        <v>0</v>
      </c>
      <c r="D100" s="5">
        <f>SUMIFS(日記簿!$G$2:$G$1000,日記簿!$D$2:$D$1000,A100)</f>
        <v>0</v>
      </c>
      <c r="E100" s="5">
        <f t="shared" si="4"/>
        <v>0</v>
      </c>
      <c r="F100" s="6" t="s">
        <v>193</v>
      </c>
      <c r="G100" s="6" t="s">
        <v>194</v>
      </c>
    </row>
    <row r="101" spans="1:7" x14ac:dyDescent="0.3">
      <c r="A101" s="4" t="s">
        <v>225</v>
      </c>
      <c r="B101" s="4" t="s">
        <v>226</v>
      </c>
      <c r="C101" s="5">
        <f>SUMIFS(日記簿!$F$2:$F$1000,日記簿!$D$2:$D$1000,A101)</f>
        <v>0</v>
      </c>
      <c r="D101" s="5">
        <f>SUMIFS(日記簿!$G$2:$G$1000,日記簿!$D$2:$D$1000,A101)</f>
        <v>0</v>
      </c>
      <c r="E101" s="5">
        <f t="shared" si="4"/>
        <v>0</v>
      </c>
      <c r="F101" s="6" t="s">
        <v>193</v>
      </c>
      <c r="G101" s="6" t="s">
        <v>194</v>
      </c>
    </row>
    <row r="102" spans="1:7" x14ac:dyDescent="0.3">
      <c r="A102" s="4" t="s">
        <v>227</v>
      </c>
      <c r="B102" s="4" t="s">
        <v>228</v>
      </c>
      <c r="C102" s="5">
        <f>SUMIFS(日記簿!$F$2:$F$1000,日記簿!$D$2:$D$1000,A102)</f>
        <v>0</v>
      </c>
      <c r="D102" s="5">
        <f>SUMIFS(日記簿!$G$2:$G$1000,日記簿!$D$2:$D$1000,A102)</f>
        <v>0</v>
      </c>
      <c r="E102" s="5">
        <f t="shared" si="4"/>
        <v>0</v>
      </c>
      <c r="F102" s="6" t="s">
        <v>193</v>
      </c>
      <c r="G102" s="6" t="s">
        <v>194</v>
      </c>
    </row>
    <row r="103" spans="1:7" x14ac:dyDescent="0.3">
      <c r="A103" s="4" t="s">
        <v>229</v>
      </c>
      <c r="B103" s="4" t="s">
        <v>230</v>
      </c>
      <c r="C103" s="5">
        <f>SUMIFS(日記簿!$F$2:$F$1000,日記簿!$D$2:$D$1000,A103)</f>
        <v>0</v>
      </c>
      <c r="D103" s="5">
        <f>SUMIFS(日記簿!$G$2:$G$1000,日記簿!$D$2:$D$1000,A103)</f>
        <v>0</v>
      </c>
      <c r="E103" s="5">
        <f t="shared" si="4"/>
        <v>0</v>
      </c>
      <c r="F103" s="6" t="s">
        <v>193</v>
      </c>
      <c r="G103" s="6" t="s">
        <v>194</v>
      </c>
    </row>
    <row r="104" spans="1:7" x14ac:dyDescent="0.3">
      <c r="A104" s="4" t="s">
        <v>231</v>
      </c>
      <c r="B104" s="4" t="s">
        <v>97</v>
      </c>
      <c r="C104" s="5">
        <f>SUMIFS(日記簿!$F$2:$F$1000,日記簿!$D$2:$D$1000,A104)</f>
        <v>0</v>
      </c>
      <c r="D104" s="5">
        <f>SUMIFS(日記簿!$G$2:$G$1000,日記簿!$D$2:$D$1000,A104)</f>
        <v>0</v>
      </c>
      <c r="E104" s="5">
        <f t="shared" si="4"/>
        <v>0</v>
      </c>
      <c r="F104" s="6" t="s">
        <v>193</v>
      </c>
      <c r="G104" s="6" t="s">
        <v>194</v>
      </c>
    </row>
    <row r="105" spans="1:7" x14ac:dyDescent="0.3">
      <c r="A105" s="4" t="s">
        <v>232</v>
      </c>
      <c r="B105" s="4" t="s">
        <v>233</v>
      </c>
      <c r="C105" s="5">
        <f>SUMIFS(日記簿!$F$2:$F$1000,日記簿!$D$2:$D$1000,A105)</f>
        <v>0</v>
      </c>
      <c r="D105" s="5">
        <f>SUMIFS(日記簿!$G$2:$G$1000,日記簿!$D$2:$D$1000,A105)</f>
        <v>0</v>
      </c>
      <c r="E105" s="5">
        <f t="shared" si="4"/>
        <v>0</v>
      </c>
      <c r="F105" s="6" t="s">
        <v>193</v>
      </c>
      <c r="G105" s="6" t="s">
        <v>194</v>
      </c>
    </row>
    <row r="106" spans="1:7" x14ac:dyDescent="0.3">
      <c r="A106" s="4" t="s">
        <v>234</v>
      </c>
      <c r="B106" s="4" t="s">
        <v>235</v>
      </c>
      <c r="C106" s="5">
        <f>SUMIFS(日記簿!$F$2:$F$1000,日記簿!$D$2:$D$1000,A106)</f>
        <v>0</v>
      </c>
      <c r="D106" s="5">
        <f>SUMIFS(日記簿!$G$2:$G$1000,日記簿!$D$2:$D$1000,A106)</f>
        <v>0</v>
      </c>
      <c r="E106" s="5">
        <f t="shared" si="4"/>
        <v>0</v>
      </c>
      <c r="F106" s="6" t="s">
        <v>193</v>
      </c>
      <c r="G106" s="6" t="s">
        <v>194</v>
      </c>
    </row>
    <row r="107" spans="1:7" x14ac:dyDescent="0.3">
      <c r="A107" s="4" t="s">
        <v>236</v>
      </c>
      <c r="B107" s="4" t="s">
        <v>237</v>
      </c>
      <c r="C107" s="5">
        <f>SUMIFS(日記簿!$F$2:$F$1000,日記簿!$D$2:$D$1000,A107)</f>
        <v>0</v>
      </c>
      <c r="D107" s="5">
        <f>SUMIFS(日記簿!$G$2:$G$1000,日記簿!$D$2:$D$1000,A107)</f>
        <v>0</v>
      </c>
      <c r="E107" s="5">
        <f t="shared" si="4"/>
        <v>0</v>
      </c>
      <c r="F107" s="6" t="s">
        <v>193</v>
      </c>
      <c r="G107" s="6" t="s">
        <v>194</v>
      </c>
    </row>
    <row r="108" spans="1:7" x14ac:dyDescent="0.3">
      <c r="A108" s="4" t="s">
        <v>238</v>
      </c>
      <c r="B108" s="4" t="s">
        <v>239</v>
      </c>
      <c r="C108" s="5">
        <f>SUMIFS(日記簿!$F$2:$F$1000,日記簿!$D$2:$D$1000,A108)</f>
        <v>0</v>
      </c>
      <c r="D108" s="5">
        <f>SUMIFS(日記簿!$G$2:$G$1000,日記簿!$D$2:$D$1000,A108)</f>
        <v>0</v>
      </c>
      <c r="E108" s="5">
        <f t="shared" si="4"/>
        <v>0</v>
      </c>
      <c r="F108" s="6" t="s">
        <v>193</v>
      </c>
      <c r="G108" s="6" t="s">
        <v>194</v>
      </c>
    </row>
    <row r="109" spans="1:7" x14ac:dyDescent="0.3">
      <c r="A109" s="4" t="s">
        <v>240</v>
      </c>
      <c r="B109" s="4" t="s">
        <v>241</v>
      </c>
      <c r="C109" s="5">
        <f>SUMIFS(日記簿!$F$2:$F$1000,日記簿!$D$2:$D$1000,A109)</f>
        <v>0</v>
      </c>
      <c r="D109" s="5">
        <f>SUMIFS(日記簿!$G$2:$G$1000,日記簿!$D$2:$D$1000,A109)</f>
        <v>0</v>
      </c>
      <c r="E109" s="5">
        <f t="shared" si="4"/>
        <v>0</v>
      </c>
      <c r="F109" s="6" t="s">
        <v>193</v>
      </c>
      <c r="G109" s="6" t="s">
        <v>194</v>
      </c>
    </row>
    <row r="110" spans="1:7" x14ac:dyDescent="0.3">
      <c r="A110" s="4" t="s">
        <v>242</v>
      </c>
      <c r="B110" s="4" t="s">
        <v>243</v>
      </c>
      <c r="C110" s="5">
        <f>SUMIFS(日記簿!$F$2:$F$1000,日記簿!$D$2:$D$1000,A110)</f>
        <v>0</v>
      </c>
      <c r="D110" s="5">
        <f>SUMIFS(日記簿!$G$2:$G$1000,日記簿!$D$2:$D$1000,A110)</f>
        <v>0</v>
      </c>
      <c r="E110" s="5">
        <f t="shared" si="4"/>
        <v>0</v>
      </c>
      <c r="F110" s="6" t="s">
        <v>193</v>
      </c>
      <c r="G110" s="6" t="s">
        <v>194</v>
      </c>
    </row>
    <row r="111" spans="1:7" x14ac:dyDescent="0.3">
      <c r="A111" s="4" t="s">
        <v>244</v>
      </c>
      <c r="B111" s="4" t="s">
        <v>245</v>
      </c>
      <c r="C111" s="5">
        <f>SUMIFS(日記簿!$F$2:$F$1000,日記簿!$D$2:$D$1000,A111)</f>
        <v>0</v>
      </c>
      <c r="D111" s="5">
        <f>SUMIFS(日記簿!$G$2:$G$1000,日記簿!$D$2:$D$1000,A111)</f>
        <v>0</v>
      </c>
      <c r="E111" s="5">
        <f t="shared" si="4"/>
        <v>0</v>
      </c>
      <c r="F111" s="6" t="s">
        <v>193</v>
      </c>
      <c r="G111" s="6" t="s">
        <v>194</v>
      </c>
    </row>
    <row r="112" spans="1:7" x14ac:dyDescent="0.3">
      <c r="A112" s="4" t="s">
        <v>246</v>
      </c>
      <c r="B112" s="4" t="s">
        <v>247</v>
      </c>
      <c r="C112" s="5">
        <f>SUMIFS(日記簿!$F$2:$F$1000,日記簿!$D$2:$D$1000,A112)</f>
        <v>0</v>
      </c>
      <c r="D112" s="5">
        <f>SUMIFS(日記簿!$G$2:$G$1000,日記簿!$D$2:$D$1000,A112)</f>
        <v>0</v>
      </c>
      <c r="E112" s="5">
        <f t="shared" si="4"/>
        <v>0</v>
      </c>
      <c r="F112" s="6" t="s">
        <v>193</v>
      </c>
      <c r="G112" s="6" t="s">
        <v>194</v>
      </c>
    </row>
    <row r="113" spans="1:7" x14ac:dyDescent="0.3">
      <c r="A113" s="4" t="s">
        <v>248</v>
      </c>
      <c r="B113" s="4" t="s">
        <v>249</v>
      </c>
      <c r="C113" s="5">
        <f>SUMIFS(日記簿!$F$2:$F$1000,日記簿!$D$2:$D$1000,A113)</f>
        <v>0</v>
      </c>
      <c r="D113" s="5">
        <f>SUMIFS(日記簿!$G$2:$G$1000,日記簿!$D$2:$D$1000,A113)</f>
        <v>0</v>
      </c>
      <c r="E113" s="5">
        <f t="shared" si="4"/>
        <v>0</v>
      </c>
      <c r="F113" s="6" t="s">
        <v>193</v>
      </c>
      <c r="G113" s="6" t="s">
        <v>194</v>
      </c>
    </row>
    <row r="114" spans="1:7" x14ac:dyDescent="0.3">
      <c r="A114" s="4" t="s">
        <v>250</v>
      </c>
      <c r="B114" s="4" t="s">
        <v>251</v>
      </c>
      <c r="C114" s="5">
        <f>SUMIFS(日記簿!$F$2:$F$1000,日記簿!$D$2:$D$1000,A114)</f>
        <v>0</v>
      </c>
      <c r="D114" s="5">
        <f>SUMIFS(日記簿!$G$2:$G$1000,日記簿!$D$2:$D$1000,A114)</f>
        <v>0</v>
      </c>
      <c r="E114" s="5">
        <f t="shared" si="4"/>
        <v>0</v>
      </c>
      <c r="F114" s="6" t="s">
        <v>193</v>
      </c>
      <c r="G114" s="6" t="s">
        <v>194</v>
      </c>
    </row>
    <row r="115" spans="1:7" x14ac:dyDescent="0.3">
      <c r="A115" s="4" t="s">
        <v>252</v>
      </c>
      <c r="B115" s="4" t="s">
        <v>253</v>
      </c>
      <c r="C115" s="5">
        <f>SUMIFS(日記簿!$F$2:$F$1000,日記簿!$D$2:$D$1000,A115)</f>
        <v>0</v>
      </c>
      <c r="D115" s="5">
        <f>SUMIFS(日記簿!$G$2:$G$1000,日記簿!$D$2:$D$1000,A115)</f>
        <v>0</v>
      </c>
      <c r="E115" s="5">
        <f t="shared" si="4"/>
        <v>0</v>
      </c>
      <c r="F115" s="6" t="s">
        <v>193</v>
      </c>
      <c r="G115" s="6" t="s">
        <v>194</v>
      </c>
    </row>
    <row r="116" spans="1:7" x14ac:dyDescent="0.3">
      <c r="A116" s="4" t="s">
        <v>254</v>
      </c>
      <c r="B116" s="4" t="s">
        <v>255</v>
      </c>
      <c r="C116" s="5">
        <f>SUMIFS(日記簿!$F$2:$F$1000,日記簿!$D$2:$D$1000,A116)</f>
        <v>0</v>
      </c>
      <c r="D116" s="5">
        <f>SUMIFS(日記簿!$G$2:$G$1000,日記簿!$D$2:$D$1000,A116)</f>
        <v>0</v>
      </c>
      <c r="E116" s="5">
        <f t="shared" si="4"/>
        <v>0</v>
      </c>
      <c r="F116" s="6" t="s">
        <v>193</v>
      </c>
      <c r="G116" s="6" t="s">
        <v>194</v>
      </c>
    </row>
    <row r="117" spans="1:7" x14ac:dyDescent="0.3">
      <c r="A117" s="4" t="s">
        <v>256</v>
      </c>
      <c r="B117" s="4" t="s">
        <v>257</v>
      </c>
      <c r="C117" s="5">
        <f>SUMIFS(日記簿!$F$2:$F$1000,日記簿!$D$2:$D$1000,A117)</f>
        <v>0</v>
      </c>
      <c r="D117" s="5">
        <f>SUMIFS(日記簿!$G$2:$G$1000,日記簿!$D$2:$D$1000,A117)</f>
        <v>0</v>
      </c>
      <c r="E117" s="5">
        <f t="shared" ref="E117:E148" si="5">D117-C117</f>
        <v>0</v>
      </c>
      <c r="F117" s="6" t="s">
        <v>193</v>
      </c>
      <c r="G117" s="6" t="s">
        <v>194</v>
      </c>
    </row>
    <row r="118" spans="1:7" x14ac:dyDescent="0.3">
      <c r="A118" s="4" t="s">
        <v>258</v>
      </c>
      <c r="B118" s="4" t="s">
        <v>259</v>
      </c>
      <c r="C118" s="5">
        <f>SUMIFS(日記簿!$F$2:$F$1000,日記簿!$D$2:$D$1000,A118)</f>
        <v>0</v>
      </c>
      <c r="D118" s="5">
        <f>SUMIFS(日記簿!$G$2:$G$1000,日記簿!$D$2:$D$1000,A118)</f>
        <v>0</v>
      </c>
      <c r="E118" s="5">
        <f t="shared" si="5"/>
        <v>0</v>
      </c>
      <c r="F118" s="6" t="s">
        <v>193</v>
      </c>
      <c r="G118" s="6" t="s">
        <v>194</v>
      </c>
    </row>
    <row r="119" spans="1:7" x14ac:dyDescent="0.3">
      <c r="A119" s="4" t="s">
        <v>260</v>
      </c>
      <c r="B119" s="4" t="s">
        <v>261</v>
      </c>
      <c r="C119" s="5">
        <f>SUMIFS(日記簿!$F$2:$F$1000,日記簿!$D$2:$D$1000,A119)</f>
        <v>0</v>
      </c>
      <c r="D119" s="5">
        <f>SUMIFS(日記簿!$G$2:$G$1000,日記簿!$D$2:$D$1000,A119)</f>
        <v>0</v>
      </c>
      <c r="E119" s="5">
        <f t="shared" si="5"/>
        <v>0</v>
      </c>
      <c r="F119" s="6" t="s">
        <v>193</v>
      </c>
      <c r="G119" s="6" t="s">
        <v>262</v>
      </c>
    </row>
    <row r="120" spans="1:7" x14ac:dyDescent="0.3">
      <c r="A120" s="4" t="s">
        <v>263</v>
      </c>
      <c r="B120" s="4" t="s">
        <v>264</v>
      </c>
      <c r="C120" s="5">
        <f>SUMIFS(日記簿!$F$2:$F$1000,日記簿!$D$2:$D$1000,A120)</f>
        <v>0</v>
      </c>
      <c r="D120" s="5">
        <f>SUMIFS(日記簿!$G$2:$G$1000,日記簿!$D$2:$D$1000,A120)</f>
        <v>0</v>
      </c>
      <c r="E120" s="5">
        <f t="shared" si="5"/>
        <v>0</v>
      </c>
      <c r="F120" s="6" t="s">
        <v>193</v>
      </c>
      <c r="G120" s="6" t="s">
        <v>262</v>
      </c>
    </row>
    <row r="121" spans="1:7" x14ac:dyDescent="0.3">
      <c r="A121" s="4" t="s">
        <v>265</v>
      </c>
      <c r="B121" s="4" t="s">
        <v>266</v>
      </c>
      <c r="C121" s="5">
        <f>SUMIFS(日記簿!$F$2:$F$1000,日記簿!$D$2:$D$1000,A121)</f>
        <v>0</v>
      </c>
      <c r="D121" s="5">
        <f>SUMIFS(日記簿!$G$2:$G$1000,日記簿!$D$2:$D$1000,A121)</f>
        <v>0</v>
      </c>
      <c r="E121" s="5">
        <f t="shared" si="5"/>
        <v>0</v>
      </c>
      <c r="F121" s="6" t="s">
        <v>193</v>
      </c>
      <c r="G121" s="6" t="s">
        <v>262</v>
      </c>
    </row>
    <row r="122" spans="1:7" x14ac:dyDescent="0.3">
      <c r="A122" s="4" t="s">
        <v>267</v>
      </c>
      <c r="B122" s="4" t="s">
        <v>268</v>
      </c>
      <c r="C122" s="5">
        <f>SUMIFS(日記簿!$F$2:$F$1000,日記簿!$D$2:$D$1000,A122)</f>
        <v>0</v>
      </c>
      <c r="D122" s="5">
        <f>SUMIFS(日記簿!$G$2:$G$1000,日記簿!$D$2:$D$1000,A122)</f>
        <v>0</v>
      </c>
      <c r="E122" s="5">
        <f t="shared" si="5"/>
        <v>0</v>
      </c>
      <c r="F122" s="6" t="s">
        <v>193</v>
      </c>
      <c r="G122" s="6" t="s">
        <v>262</v>
      </c>
    </row>
    <row r="123" spans="1:7" x14ac:dyDescent="0.3">
      <c r="A123" s="4" t="s">
        <v>269</v>
      </c>
      <c r="B123" s="4" t="s">
        <v>270</v>
      </c>
      <c r="C123" s="5">
        <f>SUMIFS(日記簿!$F$2:$F$1000,日記簿!$D$2:$D$1000,A123)</f>
        <v>0</v>
      </c>
      <c r="D123" s="5">
        <f>SUMIFS(日記簿!$G$2:$G$1000,日記簿!$D$2:$D$1000,A123)</f>
        <v>0</v>
      </c>
      <c r="E123" s="5">
        <f t="shared" si="5"/>
        <v>0</v>
      </c>
      <c r="F123" s="6" t="s">
        <v>193</v>
      </c>
      <c r="G123" s="6" t="s">
        <v>262</v>
      </c>
    </row>
    <row r="124" spans="1:7" x14ac:dyDescent="0.3">
      <c r="A124" s="4" t="s">
        <v>271</v>
      </c>
      <c r="B124" s="4" t="s">
        <v>272</v>
      </c>
      <c r="C124" s="5">
        <f>SUMIFS(日記簿!$F$2:$F$1000,日記簿!$D$2:$D$1000,A124)</f>
        <v>-1000000</v>
      </c>
      <c r="D124" s="5">
        <f>SUMIFS(日記簿!$G$2:$G$1000,日記簿!$D$2:$D$1000,A124)</f>
        <v>0</v>
      </c>
      <c r="E124" s="5">
        <f t="shared" si="5"/>
        <v>1000000</v>
      </c>
      <c r="F124" s="6" t="s">
        <v>273</v>
      </c>
      <c r="G124" s="6" t="s">
        <v>274</v>
      </c>
    </row>
    <row r="125" spans="1:7" x14ac:dyDescent="0.3">
      <c r="A125" s="4" t="s">
        <v>275</v>
      </c>
      <c r="B125" s="4" t="s">
        <v>276</v>
      </c>
      <c r="C125" s="5">
        <f>SUMIFS(日記簿!$F$2:$F$1000,日記簿!$D$2:$D$1000,A125)</f>
        <v>0</v>
      </c>
      <c r="D125" s="5">
        <f>SUMIFS(日記簿!$G$2:$G$1000,日記簿!$D$2:$D$1000,A125)</f>
        <v>0</v>
      </c>
      <c r="E125" s="5">
        <f t="shared" si="5"/>
        <v>0</v>
      </c>
      <c r="F125" s="6" t="s">
        <v>273</v>
      </c>
      <c r="G125" s="6" t="s">
        <v>274</v>
      </c>
    </row>
    <row r="126" spans="1:7" x14ac:dyDescent="0.3">
      <c r="A126" s="4" t="s">
        <v>277</v>
      </c>
      <c r="B126" s="4" t="s">
        <v>278</v>
      </c>
      <c r="C126" s="5">
        <f>SUMIFS(日記簿!$F$2:$F$1000,日記簿!$D$2:$D$1000,A126)</f>
        <v>0</v>
      </c>
      <c r="D126" s="5">
        <f>SUMIFS(日記簿!$G$2:$G$1000,日記簿!$D$2:$D$1000,A126)</f>
        <v>0</v>
      </c>
      <c r="E126" s="5">
        <f t="shared" si="5"/>
        <v>0</v>
      </c>
      <c r="F126" s="6" t="s">
        <v>273</v>
      </c>
      <c r="G126" s="6" t="s">
        <v>274</v>
      </c>
    </row>
    <row r="127" spans="1:7" x14ac:dyDescent="0.3">
      <c r="A127" s="4" t="s">
        <v>279</v>
      </c>
      <c r="B127" s="4" t="s">
        <v>280</v>
      </c>
      <c r="C127" s="5">
        <f>SUMIFS(日記簿!$F$2:$F$1000,日記簿!$D$2:$D$1000,A127)</f>
        <v>0</v>
      </c>
      <c r="D127" s="5">
        <f>SUMIFS(日記簿!$G$2:$G$1000,日記簿!$D$2:$D$1000,A127)</f>
        <v>0</v>
      </c>
      <c r="E127" s="5">
        <f t="shared" si="5"/>
        <v>0</v>
      </c>
      <c r="F127" s="6" t="s">
        <v>273</v>
      </c>
      <c r="G127" s="6" t="s">
        <v>274</v>
      </c>
    </row>
    <row r="128" spans="1:7" x14ac:dyDescent="0.3">
      <c r="A128" s="4" t="s">
        <v>281</v>
      </c>
      <c r="B128" s="4" t="s">
        <v>282</v>
      </c>
      <c r="C128" s="5">
        <f>SUMIFS(日記簿!$F$2:$F$1000,日記簿!$D$2:$D$1000,A128)</f>
        <v>3</v>
      </c>
      <c r="D128" s="5">
        <f>SUMIFS(日記簿!$G$2:$G$1000,日記簿!$D$2:$D$1000,A128)</f>
        <v>-1929128</v>
      </c>
      <c r="E128" s="5">
        <f t="shared" si="5"/>
        <v>-1929131</v>
      </c>
      <c r="F128" s="6" t="s">
        <v>273</v>
      </c>
      <c r="G128" s="6" t="s">
        <v>274</v>
      </c>
    </row>
    <row r="129" spans="1:7" x14ac:dyDescent="0.3">
      <c r="A129" s="4" t="s">
        <v>283</v>
      </c>
      <c r="B129" s="4" t="s">
        <v>284</v>
      </c>
      <c r="C129" s="5">
        <f>SUMIFS(日記簿!$F$2:$F$1000,日記簿!$D$2:$D$1000,A129)</f>
        <v>0</v>
      </c>
      <c r="D129" s="5">
        <f>SUMIFS(日記簿!$G$2:$G$1000,日記簿!$D$2:$D$1000,A129)</f>
        <v>0</v>
      </c>
      <c r="E129" s="5">
        <f t="shared" si="5"/>
        <v>0</v>
      </c>
      <c r="F129" s="6" t="s">
        <v>273</v>
      </c>
      <c r="G129" s="6" t="s">
        <v>274</v>
      </c>
    </row>
    <row r="130" spans="1:7" x14ac:dyDescent="0.3">
      <c r="A130" s="4" t="s">
        <v>285</v>
      </c>
      <c r="B130" s="4" t="s">
        <v>286</v>
      </c>
      <c r="C130" s="5">
        <f>SUMIFS(日記簿!$F$2:$F$1000,日記簿!$D$2:$D$1000,A130)</f>
        <v>0</v>
      </c>
      <c r="D130" s="5">
        <f>SUMIFS(日記簿!$G$2:$G$1000,日記簿!$D$2:$D$1000,A130)</f>
        <v>0</v>
      </c>
      <c r="E130" s="5">
        <f t="shared" si="5"/>
        <v>0</v>
      </c>
      <c r="F130" s="6" t="s">
        <v>273</v>
      </c>
      <c r="G130" s="6" t="s">
        <v>274</v>
      </c>
    </row>
    <row r="131" spans="1:7" x14ac:dyDescent="0.3">
      <c r="A131" s="4" t="s">
        <v>287</v>
      </c>
      <c r="B131" s="4" t="s">
        <v>720</v>
      </c>
      <c r="C131" s="5">
        <f>SUMIFS(日記簿!$F$2:$F$1000,日記簿!$D$2:$D$1000,A131)</f>
        <v>0</v>
      </c>
      <c r="D131" s="5">
        <f>SUMIFS(日記簿!$G$2:$G$1000,日記簿!$D$2:$D$1000,A131)</f>
        <v>0</v>
      </c>
      <c r="E131" s="5">
        <f t="shared" si="5"/>
        <v>0</v>
      </c>
      <c r="F131" s="6" t="s">
        <v>273</v>
      </c>
      <c r="G131" s="6" t="s">
        <v>274</v>
      </c>
    </row>
    <row r="132" spans="1:7" x14ac:dyDescent="0.3">
      <c r="A132" s="4" t="s">
        <v>289</v>
      </c>
      <c r="B132" s="4" t="s">
        <v>290</v>
      </c>
      <c r="C132" s="5">
        <f>SUMIFS(日記簿!$F$2:$F$1000,日記簿!$D$2:$D$1000,A132)</f>
        <v>0</v>
      </c>
      <c r="D132" s="5">
        <f>SUMIFS(日記簿!$G$2:$G$1000,日記簿!$D$2:$D$1000,A132)</f>
        <v>0</v>
      </c>
      <c r="E132" s="5">
        <f t="shared" si="5"/>
        <v>0</v>
      </c>
      <c r="F132" s="6" t="s">
        <v>273</v>
      </c>
      <c r="G132" s="6" t="s">
        <v>274</v>
      </c>
    </row>
    <row r="133" spans="1:7" x14ac:dyDescent="0.3">
      <c r="A133" s="4" t="s">
        <v>291</v>
      </c>
      <c r="B133" s="4" t="s">
        <v>292</v>
      </c>
      <c r="C133" s="5">
        <f>SUMIFS(日記簿!$F$2:$F$1000,日記簿!$D$2:$D$1000,A133)</f>
        <v>0</v>
      </c>
      <c r="D133" s="5">
        <f>SUMIFS(日記簿!$G$2:$G$1000,日記簿!$D$2:$D$1000,A133)</f>
        <v>0</v>
      </c>
      <c r="E133" s="5">
        <f t="shared" si="5"/>
        <v>0</v>
      </c>
      <c r="F133" s="6" t="s">
        <v>273</v>
      </c>
      <c r="G133" s="6" t="s">
        <v>274</v>
      </c>
    </row>
    <row r="134" spans="1:7" x14ac:dyDescent="0.3">
      <c r="A134" s="4" t="s">
        <v>293</v>
      </c>
      <c r="B134" s="4" t="s">
        <v>294</v>
      </c>
      <c r="C134" s="5">
        <f>SUMIFS(日記簿!$F$2:$F$1000,日記簿!$D$2:$D$1000,A134)</f>
        <v>0</v>
      </c>
      <c r="D134" s="5">
        <f>SUMIFS(日記簿!$G$2:$G$1000,日記簿!$D$2:$D$1000,A134)</f>
        <v>0</v>
      </c>
      <c r="E134" s="5">
        <f t="shared" si="5"/>
        <v>0</v>
      </c>
      <c r="F134" s="6" t="s">
        <v>273</v>
      </c>
      <c r="G134" s="6" t="s">
        <v>274</v>
      </c>
    </row>
    <row r="135" spans="1:7" x14ac:dyDescent="0.3">
      <c r="A135" s="4" t="s">
        <v>295</v>
      </c>
      <c r="B135" s="4" t="s">
        <v>296</v>
      </c>
      <c r="C135" s="5">
        <f>SUMIFS(日記簿!$F$2:$F$1000,日記簿!$D$2:$D$1000,A135)</f>
        <v>0</v>
      </c>
      <c r="D135" s="5">
        <f>SUMIFS(日記簿!$G$2:$G$1000,日記簿!$D$2:$D$1000,A135)</f>
        <v>0</v>
      </c>
      <c r="E135" s="5">
        <f t="shared" si="5"/>
        <v>0</v>
      </c>
      <c r="F135" s="6" t="s">
        <v>273</v>
      </c>
      <c r="G135" s="6" t="s">
        <v>274</v>
      </c>
    </row>
    <row r="136" spans="1:7" x14ac:dyDescent="0.3">
      <c r="A136" s="4" t="s">
        <v>297</v>
      </c>
      <c r="B136" s="4" t="s">
        <v>298</v>
      </c>
      <c r="C136" s="5">
        <f>SUMIFS(日記簿!$F$2:$F$1000,日記簿!$D$2:$D$1000,A136)</f>
        <v>0</v>
      </c>
      <c r="D136" s="5">
        <f>SUMIFS(日記簿!$G$2:$G$1000,日記簿!$D$2:$D$1000,A136)</f>
        <v>0</v>
      </c>
      <c r="E136" s="5">
        <f t="shared" si="5"/>
        <v>0</v>
      </c>
      <c r="F136" s="6" t="s">
        <v>273</v>
      </c>
      <c r="G136" s="6" t="s">
        <v>274</v>
      </c>
    </row>
    <row r="137" spans="1:7" x14ac:dyDescent="0.3">
      <c r="A137" s="4" t="s">
        <v>299</v>
      </c>
      <c r="B137" s="4" t="s">
        <v>300</v>
      </c>
      <c r="C137" s="5">
        <f>SUMIFS(日記簿!$F$2:$F$1000,日記簿!$D$2:$D$1000,A137)</f>
        <v>0</v>
      </c>
      <c r="D137" s="5">
        <f>SUMIFS(日記簿!$G$2:$G$1000,日記簿!$D$2:$D$1000,A137)</f>
        <v>0</v>
      </c>
      <c r="E137" s="5">
        <f t="shared" si="5"/>
        <v>0</v>
      </c>
      <c r="F137" s="6" t="s">
        <v>273</v>
      </c>
      <c r="G137" s="6" t="s">
        <v>274</v>
      </c>
    </row>
    <row r="138" spans="1:7" x14ac:dyDescent="0.3">
      <c r="A138" s="4" t="s">
        <v>301</v>
      </c>
      <c r="B138" s="4" t="s">
        <v>302</v>
      </c>
      <c r="C138" s="5">
        <f>SUMIFS(日記簿!$F$2:$F$1000,日記簿!$D$2:$D$1000,A138)</f>
        <v>0</v>
      </c>
      <c r="D138" s="5">
        <f>SUMIFS(日記簿!$G$2:$G$1000,日記簿!$D$2:$D$1000,A138)</f>
        <v>0</v>
      </c>
      <c r="E138" s="5">
        <f>C138-D138</f>
        <v>0</v>
      </c>
      <c r="F138" s="6" t="s">
        <v>273</v>
      </c>
      <c r="G138" s="6" t="s">
        <v>274</v>
      </c>
    </row>
    <row r="139" spans="1:7" x14ac:dyDescent="0.3">
      <c r="A139" s="4" t="s">
        <v>303</v>
      </c>
      <c r="B139" s="4" t="s">
        <v>304</v>
      </c>
      <c r="C139" s="5">
        <f>SUMIFS(日記簿!$F$2:$F$1000,日記簿!$D$2:$D$1000,A139)</f>
        <v>217547</v>
      </c>
      <c r="D139" s="5">
        <f>SUMIFS(日記簿!$G$2:$G$1000,日記簿!$D$2:$D$1000,A139)</f>
        <v>2707340</v>
      </c>
      <c r="E139" s="5">
        <f>D139-C139</f>
        <v>2489793</v>
      </c>
      <c r="F139" s="6" t="s">
        <v>305</v>
      </c>
      <c r="G139" s="6"/>
    </row>
    <row r="140" spans="1:7" x14ac:dyDescent="0.3">
      <c r="A140" s="4" t="s">
        <v>306</v>
      </c>
      <c r="B140" s="4" t="s">
        <v>307</v>
      </c>
      <c r="C140" s="5">
        <f>SUMIFS(日記簿!$F$2:$F$1000,日記簿!$D$2:$D$1000,A140)</f>
        <v>0</v>
      </c>
      <c r="D140" s="5">
        <f>SUMIFS(日記簿!$G$2:$G$1000,日記簿!$D$2:$D$1000,A140)</f>
        <v>0</v>
      </c>
      <c r="E140" s="5">
        <f>C140-D140</f>
        <v>0</v>
      </c>
      <c r="F140" s="6" t="s">
        <v>305</v>
      </c>
      <c r="G140" s="6"/>
    </row>
    <row r="141" spans="1:7" x14ac:dyDescent="0.3">
      <c r="A141" s="4" t="s">
        <v>308</v>
      </c>
      <c r="B141" s="4" t="s">
        <v>309</v>
      </c>
      <c r="C141" s="5">
        <f>SUMIFS(日記簿!$F$2:$F$1000,日記簿!$D$2:$D$1000,A141)</f>
        <v>0</v>
      </c>
      <c r="D141" s="5">
        <f>SUMIFS(日記簿!$G$2:$G$1000,日記簿!$D$2:$D$1000,A141)</f>
        <v>0</v>
      </c>
      <c r="E141" s="5">
        <f>C141-D141</f>
        <v>0</v>
      </c>
      <c r="F141" s="6" t="s">
        <v>305</v>
      </c>
      <c r="G141" s="6"/>
    </row>
    <row r="142" spans="1:7" x14ac:dyDescent="0.3">
      <c r="A142" s="4" t="s">
        <v>310</v>
      </c>
      <c r="B142" s="4" t="s">
        <v>311</v>
      </c>
      <c r="C142" s="5">
        <f>SUMIFS(日記簿!$F$2:$F$1000,日記簿!$D$2:$D$1000,A142)</f>
        <v>0</v>
      </c>
      <c r="D142" s="5">
        <f>SUMIFS(日記簿!$G$2:$G$1000,日記簿!$D$2:$D$1000,A142)</f>
        <v>0</v>
      </c>
      <c r="E142" s="5">
        <f>D142-C142</f>
        <v>0</v>
      </c>
      <c r="F142" s="6" t="s">
        <v>305</v>
      </c>
      <c r="G142" s="6"/>
    </row>
    <row r="143" spans="1:7" x14ac:dyDescent="0.3">
      <c r="A143" s="4" t="s">
        <v>312</v>
      </c>
      <c r="B143" s="4" t="s">
        <v>313</v>
      </c>
      <c r="C143" s="5">
        <f>SUMIFS(日記簿!$F$2:$F$1000,日記簿!$D$2:$D$1000,A143)</f>
        <v>0</v>
      </c>
      <c r="D143" s="5">
        <f>SUMIFS(日記簿!$G$2:$G$1000,日記簿!$D$2:$D$1000,A143)</f>
        <v>0</v>
      </c>
      <c r="E143" s="5">
        <f>D143-C143</f>
        <v>0</v>
      </c>
      <c r="F143" s="6" t="s">
        <v>305</v>
      </c>
      <c r="G143" s="6"/>
    </row>
    <row r="144" spans="1:7" x14ac:dyDescent="0.3">
      <c r="A144" s="4" t="s">
        <v>314</v>
      </c>
      <c r="B144" s="4" t="s">
        <v>315</v>
      </c>
      <c r="C144" s="5">
        <f>SUMIFS(日記簿!$F$2:$F$1000,日記簿!$D$2:$D$1000,A144)</f>
        <v>0</v>
      </c>
      <c r="D144" s="5">
        <f>SUMIFS(日記簿!$G$2:$G$1000,日記簿!$D$2:$D$1000,A144)</f>
        <v>0</v>
      </c>
      <c r="E144" s="5">
        <f>D144-C144</f>
        <v>0</v>
      </c>
      <c r="F144" s="6" t="s">
        <v>305</v>
      </c>
      <c r="G144" s="6"/>
    </row>
    <row r="145" spans="1:7" x14ac:dyDescent="0.3">
      <c r="A145" s="4" t="s">
        <v>316</v>
      </c>
      <c r="B145" s="4" t="s">
        <v>317</v>
      </c>
      <c r="C145" s="5">
        <f>SUMIFS(日記簿!$F$2:$F$1000,日記簿!$D$2:$D$1000,A145)</f>
        <v>1258620</v>
      </c>
      <c r="D145" s="5">
        <f>SUMIFS(日記簿!$G$2:$G$1000,日記簿!$D$2:$D$1000,A145)</f>
        <v>91743</v>
      </c>
      <c r="E145" s="5">
        <f t="shared" ref="E145:E176" si="6">C145-D145</f>
        <v>1166877</v>
      </c>
      <c r="F145" s="6" t="s">
        <v>317</v>
      </c>
      <c r="G145" s="6"/>
    </row>
    <row r="146" spans="1:7" x14ac:dyDescent="0.3">
      <c r="A146" s="4" t="s">
        <v>318</v>
      </c>
      <c r="B146" s="4" t="s">
        <v>319</v>
      </c>
      <c r="C146" s="5">
        <f>SUMIFS(日記簿!$F$2:$F$1000,日記簿!$D$2:$D$1000,A146)</f>
        <v>0</v>
      </c>
      <c r="D146" s="5">
        <f>SUMIFS(日記簿!$G$2:$G$1000,日記簿!$D$2:$D$1000,A146)</f>
        <v>0</v>
      </c>
      <c r="E146" s="5">
        <f t="shared" si="6"/>
        <v>0</v>
      </c>
      <c r="F146" s="6" t="s">
        <v>317</v>
      </c>
      <c r="G146" s="6"/>
    </row>
    <row r="147" spans="1:7" x14ac:dyDescent="0.3">
      <c r="A147" s="4" t="s">
        <v>320</v>
      </c>
      <c r="B147" s="4" t="s">
        <v>321</v>
      </c>
      <c r="C147" s="5">
        <f>SUMIFS(日記簿!$F$2:$F$1000,日記簿!$D$2:$D$1000,A147)</f>
        <v>0</v>
      </c>
      <c r="D147" s="5">
        <f>SUMIFS(日記簿!$G$2:$G$1000,日記簿!$D$2:$D$1000,A147)</f>
        <v>0</v>
      </c>
      <c r="E147" s="5">
        <f t="shared" si="6"/>
        <v>0</v>
      </c>
      <c r="F147" s="6" t="s">
        <v>317</v>
      </c>
      <c r="G147" s="6"/>
    </row>
    <row r="148" spans="1:7" x14ac:dyDescent="0.3">
      <c r="A148" s="4" t="s">
        <v>322</v>
      </c>
      <c r="B148" s="4" t="s">
        <v>323</v>
      </c>
      <c r="C148" s="5">
        <f>SUMIFS(日記簿!$F$2:$F$1000,日記簿!$D$2:$D$1000,A148)</f>
        <v>0</v>
      </c>
      <c r="D148" s="5">
        <f>SUMIFS(日記簿!$G$2:$G$1000,日記簿!$D$2:$D$1000,A148)</f>
        <v>0</v>
      </c>
      <c r="E148" s="5">
        <f t="shared" si="6"/>
        <v>0</v>
      </c>
      <c r="F148" s="6" t="s">
        <v>317</v>
      </c>
      <c r="G148" s="6"/>
    </row>
    <row r="149" spans="1:7" x14ac:dyDescent="0.3">
      <c r="A149" s="4" t="s">
        <v>324</v>
      </c>
      <c r="B149" s="4" t="s">
        <v>325</v>
      </c>
      <c r="C149" s="5">
        <f>SUMIFS(日記簿!$F$2:$F$1000,日記簿!$D$2:$D$1000,A149)</f>
        <v>1068000</v>
      </c>
      <c r="D149" s="5">
        <f>SUMIFS(日記簿!$G$2:$G$1000,日記簿!$D$2:$D$1000,A149)</f>
        <v>0</v>
      </c>
      <c r="E149" s="5">
        <f t="shared" si="6"/>
        <v>1068000</v>
      </c>
      <c r="F149" s="6" t="s">
        <v>326</v>
      </c>
      <c r="G149" s="6"/>
    </row>
    <row r="150" spans="1:7" x14ac:dyDescent="0.3">
      <c r="A150" s="4" t="s">
        <v>327</v>
      </c>
      <c r="B150" s="4" t="s">
        <v>328</v>
      </c>
      <c r="C150" s="5">
        <f>SUMIFS(日記簿!$F$2:$F$1000,日記簿!$D$2:$D$1000,A150)</f>
        <v>0</v>
      </c>
      <c r="D150" s="5">
        <f>SUMIFS(日記簿!$G$2:$G$1000,日記簿!$D$2:$D$1000,A150)</f>
        <v>0</v>
      </c>
      <c r="E150" s="5">
        <f t="shared" si="6"/>
        <v>0</v>
      </c>
      <c r="F150" s="6" t="s">
        <v>326</v>
      </c>
      <c r="G150" s="6"/>
    </row>
    <row r="151" spans="1:7" x14ac:dyDescent="0.3">
      <c r="A151" s="4" t="s">
        <v>329</v>
      </c>
      <c r="B151" s="4" t="s">
        <v>330</v>
      </c>
      <c r="C151" s="5">
        <f>SUMIFS(日記簿!$F$2:$F$1000,日記簿!$D$2:$D$1000,A151)</f>
        <v>25605</v>
      </c>
      <c r="D151" s="5">
        <f>SUMIFS(日記簿!$G$2:$G$1000,日記簿!$D$2:$D$1000,A151)</f>
        <v>0</v>
      </c>
      <c r="E151" s="5">
        <f t="shared" si="6"/>
        <v>25605</v>
      </c>
      <c r="F151" s="6" t="s">
        <v>326</v>
      </c>
      <c r="G151" s="6"/>
    </row>
    <row r="152" spans="1:7" x14ac:dyDescent="0.3">
      <c r="A152" s="4" t="s">
        <v>331</v>
      </c>
      <c r="B152" s="4" t="s">
        <v>332</v>
      </c>
      <c r="C152" s="5">
        <f>SUMIFS(日記簿!$F$2:$F$1000,日記簿!$D$2:$D$1000,A152)</f>
        <v>0</v>
      </c>
      <c r="D152" s="5">
        <f>SUMIFS(日記簿!$G$2:$G$1000,日記簿!$D$2:$D$1000,A152)</f>
        <v>0</v>
      </c>
      <c r="E152" s="5">
        <f t="shared" si="6"/>
        <v>0</v>
      </c>
      <c r="F152" s="6" t="s">
        <v>326</v>
      </c>
      <c r="G152" s="6"/>
    </row>
    <row r="153" spans="1:7" x14ac:dyDescent="0.3">
      <c r="A153" s="4" t="s">
        <v>333</v>
      </c>
      <c r="B153" s="4" t="s">
        <v>334</v>
      </c>
      <c r="C153" s="5">
        <f>SUMIFS(日記簿!$F$2:$F$1000,日記簿!$D$2:$D$1000,A153)</f>
        <v>0</v>
      </c>
      <c r="D153" s="5">
        <f>SUMIFS(日記簿!$G$2:$G$1000,日記簿!$D$2:$D$1000,A153)</f>
        <v>0</v>
      </c>
      <c r="E153" s="5">
        <f t="shared" si="6"/>
        <v>0</v>
      </c>
      <c r="F153" s="6" t="s">
        <v>326</v>
      </c>
      <c r="G153" s="6"/>
    </row>
    <row r="154" spans="1:7" x14ac:dyDescent="0.3">
      <c r="A154" s="4" t="s">
        <v>335</v>
      </c>
      <c r="B154" s="4" t="s">
        <v>336</v>
      </c>
      <c r="C154" s="5">
        <f>SUMIFS(日記簿!$F$2:$F$1000,日記簿!$D$2:$D$1000,A154)</f>
        <v>0</v>
      </c>
      <c r="D154" s="5">
        <f>SUMIFS(日記簿!$G$2:$G$1000,日記簿!$D$2:$D$1000,A154)</f>
        <v>0</v>
      </c>
      <c r="E154" s="5">
        <f t="shared" si="6"/>
        <v>0</v>
      </c>
      <c r="F154" s="6" t="s">
        <v>326</v>
      </c>
      <c r="G154" s="6"/>
    </row>
    <row r="155" spans="1:7" x14ac:dyDescent="0.3">
      <c r="A155" s="4" t="s">
        <v>337</v>
      </c>
      <c r="B155" s="4" t="s">
        <v>338</v>
      </c>
      <c r="C155" s="5">
        <f>SUMIFS(日記簿!$F$2:$F$1000,日記簿!$D$2:$D$1000,A155)</f>
        <v>0</v>
      </c>
      <c r="D155" s="5">
        <f>SUMIFS(日記簿!$G$2:$G$1000,日記簿!$D$2:$D$1000,A155)</f>
        <v>0</v>
      </c>
      <c r="E155" s="5">
        <f t="shared" si="6"/>
        <v>0</v>
      </c>
      <c r="F155" s="6" t="s">
        <v>326</v>
      </c>
      <c r="G155" s="6"/>
    </row>
    <row r="156" spans="1:7" x14ac:dyDescent="0.3">
      <c r="A156" s="4" t="s">
        <v>339</v>
      </c>
      <c r="B156" s="4" t="s">
        <v>340</v>
      </c>
      <c r="C156" s="5">
        <f>SUMIFS(日記簿!$F$2:$F$1000,日記簿!$D$2:$D$1000,A156)</f>
        <v>0</v>
      </c>
      <c r="D156" s="5">
        <f>SUMIFS(日記簿!$G$2:$G$1000,日記簿!$D$2:$D$1000,A156)</f>
        <v>0</v>
      </c>
      <c r="E156" s="5">
        <f t="shared" si="6"/>
        <v>0</v>
      </c>
      <c r="F156" s="6" t="s">
        <v>326</v>
      </c>
      <c r="G156" s="6"/>
    </row>
    <row r="157" spans="1:7" x14ac:dyDescent="0.3">
      <c r="A157" s="4" t="s">
        <v>341</v>
      </c>
      <c r="B157" s="4" t="s">
        <v>342</v>
      </c>
      <c r="C157" s="5">
        <f>SUMIFS(日記簿!$F$2:$F$1000,日記簿!$D$2:$D$1000,A157)</f>
        <v>43500</v>
      </c>
      <c r="D157" s="5">
        <f>SUMIFS(日記簿!$G$2:$G$1000,日記簿!$D$2:$D$1000,A157)</f>
        <v>0</v>
      </c>
      <c r="E157" s="5">
        <f t="shared" si="6"/>
        <v>43500</v>
      </c>
      <c r="F157" s="6" t="s">
        <v>326</v>
      </c>
      <c r="G157" s="6"/>
    </row>
    <row r="158" spans="1:7" x14ac:dyDescent="0.3">
      <c r="A158" s="4" t="s">
        <v>343</v>
      </c>
      <c r="B158" s="4" t="s">
        <v>344</v>
      </c>
      <c r="C158" s="5">
        <f>SUMIFS(日記簿!$F$2:$F$1000,日記簿!$D$2:$D$1000,A158)</f>
        <v>51360</v>
      </c>
      <c r="D158" s="5">
        <f>SUMIFS(日記簿!$G$2:$G$1000,日記簿!$D$2:$D$1000,A158)</f>
        <v>0</v>
      </c>
      <c r="E158" s="5">
        <f t="shared" si="6"/>
        <v>51360</v>
      </c>
      <c r="F158" s="6" t="s">
        <v>326</v>
      </c>
      <c r="G158" s="6"/>
    </row>
    <row r="159" spans="1:7" x14ac:dyDescent="0.3">
      <c r="A159" s="4" t="s">
        <v>345</v>
      </c>
      <c r="B159" s="4" t="s">
        <v>346</v>
      </c>
      <c r="C159" s="5">
        <f>SUMIFS(日記簿!$F$2:$F$1000,日記簿!$D$2:$D$1000,A159)</f>
        <v>0</v>
      </c>
      <c r="D159" s="5">
        <f>SUMIFS(日記簿!$G$2:$G$1000,日記簿!$D$2:$D$1000,A159)</f>
        <v>0</v>
      </c>
      <c r="E159" s="5">
        <f t="shared" si="6"/>
        <v>0</v>
      </c>
      <c r="F159" s="6" t="s">
        <v>326</v>
      </c>
      <c r="G159" s="6"/>
    </row>
    <row r="160" spans="1:7" x14ac:dyDescent="0.3">
      <c r="A160" s="4" t="s">
        <v>347</v>
      </c>
      <c r="B160" s="4" t="s">
        <v>348</v>
      </c>
      <c r="C160" s="5">
        <f>SUMIFS(日記簿!$F$2:$F$1000,日記簿!$D$2:$D$1000,A160)</f>
        <v>0</v>
      </c>
      <c r="D160" s="5">
        <f>SUMIFS(日記簿!$G$2:$G$1000,日記簿!$D$2:$D$1000,A160)</f>
        <v>0</v>
      </c>
      <c r="E160" s="5">
        <f t="shared" si="6"/>
        <v>0</v>
      </c>
      <c r="F160" s="6" t="s">
        <v>326</v>
      </c>
      <c r="G160" s="6"/>
    </row>
    <row r="161" spans="1:7" x14ac:dyDescent="0.3">
      <c r="A161" s="4" t="s">
        <v>349</v>
      </c>
      <c r="B161" s="4" t="s">
        <v>350</v>
      </c>
      <c r="C161" s="5">
        <f>SUMIFS(日記簿!$F$2:$F$1000,日記簿!$D$2:$D$1000,A161)</f>
        <v>0</v>
      </c>
      <c r="D161" s="5">
        <f>SUMIFS(日記簿!$G$2:$G$1000,日記簿!$D$2:$D$1000,A161)</f>
        <v>0</v>
      </c>
      <c r="E161" s="5">
        <f t="shared" si="6"/>
        <v>0</v>
      </c>
      <c r="F161" s="6" t="s">
        <v>326</v>
      </c>
      <c r="G161" s="6"/>
    </row>
    <row r="162" spans="1:7" x14ac:dyDescent="0.3">
      <c r="A162" s="4" t="s">
        <v>351</v>
      </c>
      <c r="B162" s="4" t="s">
        <v>352</v>
      </c>
      <c r="C162" s="5">
        <f>SUMIFS(日記簿!$F$2:$F$1000,日記簿!$D$2:$D$1000,A162)</f>
        <v>0</v>
      </c>
      <c r="D162" s="5">
        <f>SUMIFS(日記簿!$G$2:$G$1000,日記簿!$D$2:$D$1000,A162)</f>
        <v>0</v>
      </c>
      <c r="E162" s="5">
        <f t="shared" si="6"/>
        <v>0</v>
      </c>
      <c r="F162" s="6" t="s">
        <v>326</v>
      </c>
      <c r="G162" s="6"/>
    </row>
    <row r="163" spans="1:7" x14ac:dyDescent="0.3">
      <c r="A163" s="4" t="s">
        <v>353</v>
      </c>
      <c r="B163" s="4" t="s">
        <v>354</v>
      </c>
      <c r="C163" s="5">
        <f>SUMIFS(日記簿!$F$2:$F$1000,日記簿!$D$2:$D$1000,A163)</f>
        <v>0</v>
      </c>
      <c r="D163" s="5">
        <f>SUMIFS(日記簿!$G$2:$G$1000,日記簿!$D$2:$D$1000,A163)</f>
        <v>0</v>
      </c>
      <c r="E163" s="5">
        <f t="shared" si="6"/>
        <v>0</v>
      </c>
      <c r="F163" s="6" t="s">
        <v>326</v>
      </c>
      <c r="G163" s="6"/>
    </row>
    <row r="164" spans="1:7" x14ac:dyDescent="0.3">
      <c r="A164" s="4" t="s">
        <v>355</v>
      </c>
      <c r="B164" s="4" t="s">
        <v>356</v>
      </c>
      <c r="C164" s="5">
        <f>SUMIFS(日記簿!$F$2:$F$1000,日記簿!$D$2:$D$1000,A164)</f>
        <v>0</v>
      </c>
      <c r="D164" s="5">
        <f>SUMIFS(日記簿!$G$2:$G$1000,日記簿!$D$2:$D$1000,A164)</f>
        <v>0</v>
      </c>
      <c r="E164" s="5">
        <f t="shared" si="6"/>
        <v>0</v>
      </c>
      <c r="F164" s="6" t="s">
        <v>326</v>
      </c>
      <c r="G164" s="6"/>
    </row>
    <row r="165" spans="1:7" x14ac:dyDescent="0.3">
      <c r="A165" s="4" t="s">
        <v>357</v>
      </c>
      <c r="B165" s="4" t="s">
        <v>358</v>
      </c>
      <c r="C165" s="5">
        <f>SUMIFS(日記簿!$F$2:$F$1000,日記簿!$D$2:$D$1000,A165)</f>
        <v>0</v>
      </c>
      <c r="D165" s="5">
        <f>SUMIFS(日記簿!$G$2:$G$1000,日記簿!$D$2:$D$1000,A165)</f>
        <v>0</v>
      </c>
      <c r="E165" s="5">
        <f t="shared" si="6"/>
        <v>0</v>
      </c>
      <c r="F165" s="6" t="s">
        <v>326</v>
      </c>
      <c r="G165" s="6"/>
    </row>
    <row r="166" spans="1:7" x14ac:dyDescent="0.3">
      <c r="A166" s="4" t="s">
        <v>359</v>
      </c>
      <c r="B166" s="4" t="s">
        <v>360</v>
      </c>
      <c r="C166" s="5">
        <f>SUMIFS(日記簿!$F$2:$F$1000,日記簿!$D$2:$D$1000,A166)</f>
        <v>0</v>
      </c>
      <c r="D166" s="5">
        <f>SUMIFS(日記簿!$G$2:$G$1000,日記簿!$D$2:$D$1000,A166)</f>
        <v>0</v>
      </c>
      <c r="E166" s="5">
        <f t="shared" si="6"/>
        <v>0</v>
      </c>
      <c r="F166" s="6" t="s">
        <v>326</v>
      </c>
      <c r="G166" s="6"/>
    </row>
    <row r="167" spans="1:7" x14ac:dyDescent="0.3">
      <c r="A167" s="4" t="s">
        <v>361</v>
      </c>
      <c r="B167" s="4" t="s">
        <v>362</v>
      </c>
      <c r="C167" s="5">
        <f>SUMIFS(日記簿!$F$2:$F$1000,日記簿!$D$2:$D$1000,A167)</f>
        <v>0</v>
      </c>
      <c r="D167" s="5">
        <f>SUMIFS(日記簿!$G$2:$G$1000,日記簿!$D$2:$D$1000,A167)</f>
        <v>0</v>
      </c>
      <c r="E167" s="5">
        <f t="shared" si="6"/>
        <v>0</v>
      </c>
      <c r="F167" s="6" t="s">
        <v>326</v>
      </c>
      <c r="G167" s="6"/>
    </row>
    <row r="168" spans="1:7" x14ac:dyDescent="0.3">
      <c r="A168" s="4" t="s">
        <v>363</v>
      </c>
      <c r="B168" s="4" t="s">
        <v>364</v>
      </c>
      <c r="C168" s="5">
        <f>SUMIFS(日記簿!$F$2:$F$1000,日記簿!$D$2:$D$1000,A168)</f>
        <v>0</v>
      </c>
      <c r="D168" s="5">
        <f>SUMIFS(日記簿!$G$2:$G$1000,日記簿!$D$2:$D$1000,A168)</f>
        <v>0</v>
      </c>
      <c r="E168" s="5">
        <f t="shared" si="6"/>
        <v>0</v>
      </c>
      <c r="F168" s="6" t="s">
        <v>326</v>
      </c>
      <c r="G168" s="6"/>
    </row>
    <row r="169" spans="1:7" x14ac:dyDescent="0.3">
      <c r="A169" s="4" t="s">
        <v>365</v>
      </c>
      <c r="B169" s="4" t="s">
        <v>366</v>
      </c>
      <c r="C169" s="5">
        <f>SUMIFS(日記簿!$F$2:$F$1000,日記簿!$D$2:$D$1000,A169)</f>
        <v>0</v>
      </c>
      <c r="D169" s="5">
        <f>SUMIFS(日記簿!$G$2:$G$1000,日記簿!$D$2:$D$1000,A169)</f>
        <v>0</v>
      </c>
      <c r="E169" s="5">
        <f t="shared" si="6"/>
        <v>0</v>
      </c>
      <c r="F169" s="6" t="s">
        <v>326</v>
      </c>
      <c r="G169" s="6"/>
    </row>
    <row r="170" spans="1:7" x14ac:dyDescent="0.3">
      <c r="A170" s="4" t="s">
        <v>367</v>
      </c>
      <c r="B170" s="4" t="s">
        <v>368</v>
      </c>
      <c r="C170" s="5">
        <f>SUMIFS(日記簿!$F$2:$F$1000,日記簿!$D$2:$D$1000,A170)</f>
        <v>0</v>
      </c>
      <c r="D170" s="5">
        <f>SUMIFS(日記簿!$G$2:$G$1000,日記簿!$D$2:$D$1000,A170)</f>
        <v>0</v>
      </c>
      <c r="E170" s="5">
        <f t="shared" si="6"/>
        <v>0</v>
      </c>
      <c r="F170" s="6" t="s">
        <v>326</v>
      </c>
      <c r="G170" s="6"/>
    </row>
    <row r="171" spans="1:7" x14ac:dyDescent="0.3">
      <c r="A171" s="4" t="s">
        <v>369</v>
      </c>
      <c r="B171" s="4" t="s">
        <v>370</v>
      </c>
      <c r="C171" s="5">
        <f>SUMIFS(日記簿!$F$2:$F$1000,日記簿!$D$2:$D$1000,A171)</f>
        <v>0</v>
      </c>
      <c r="D171" s="5">
        <f>SUMIFS(日記簿!$G$2:$G$1000,日記簿!$D$2:$D$1000,A171)</f>
        <v>0</v>
      </c>
      <c r="E171" s="5">
        <f t="shared" si="6"/>
        <v>0</v>
      </c>
      <c r="F171" s="6" t="s">
        <v>326</v>
      </c>
      <c r="G171" s="6"/>
    </row>
    <row r="172" spans="1:7" x14ac:dyDescent="0.3">
      <c r="A172" s="4" t="s">
        <v>371</v>
      </c>
      <c r="B172" s="4" t="s">
        <v>372</v>
      </c>
      <c r="C172" s="5">
        <f>SUMIFS(日記簿!$F$2:$F$1000,日記簿!$D$2:$D$1000,A172)</f>
        <v>0</v>
      </c>
      <c r="D172" s="5">
        <f>SUMIFS(日記簿!$G$2:$G$1000,日記簿!$D$2:$D$1000,A172)</f>
        <v>0</v>
      </c>
      <c r="E172" s="5">
        <f t="shared" si="6"/>
        <v>0</v>
      </c>
      <c r="F172" s="6" t="s">
        <v>326</v>
      </c>
      <c r="G172" s="6"/>
    </row>
    <row r="173" spans="1:7" x14ac:dyDescent="0.3">
      <c r="A173" s="4" t="s">
        <v>373</v>
      </c>
      <c r="B173" s="4" t="s">
        <v>374</v>
      </c>
      <c r="C173" s="5">
        <f>SUMIFS(日記簿!$F$2:$F$1000,日記簿!$D$2:$D$1000,A173)</f>
        <v>0</v>
      </c>
      <c r="D173" s="5">
        <f>SUMIFS(日記簿!$G$2:$G$1000,日記簿!$D$2:$D$1000,A173)</f>
        <v>0</v>
      </c>
      <c r="E173" s="5">
        <f t="shared" si="6"/>
        <v>0</v>
      </c>
      <c r="F173" s="6" t="s">
        <v>326</v>
      </c>
      <c r="G173" s="6"/>
    </row>
    <row r="174" spans="1:7" x14ac:dyDescent="0.3">
      <c r="A174" s="4" t="s">
        <v>375</v>
      </c>
      <c r="B174" s="4" t="s">
        <v>376</v>
      </c>
      <c r="C174" s="5">
        <f>SUMIFS(日記簿!$F$2:$F$1000,日記簿!$D$2:$D$1000,A174)</f>
        <v>0</v>
      </c>
      <c r="D174" s="5">
        <f>SUMIFS(日記簿!$G$2:$G$1000,日記簿!$D$2:$D$1000,A174)</f>
        <v>0</v>
      </c>
      <c r="E174" s="5">
        <f t="shared" si="6"/>
        <v>0</v>
      </c>
      <c r="F174" s="6" t="s">
        <v>326</v>
      </c>
      <c r="G174" s="6"/>
    </row>
    <row r="175" spans="1:7" x14ac:dyDescent="0.3">
      <c r="A175" s="4" t="s">
        <v>377</v>
      </c>
      <c r="B175" s="4" t="s">
        <v>378</v>
      </c>
      <c r="C175" s="5">
        <f>SUMIFS(日記簿!$F$2:$F$1000,日記簿!$D$2:$D$1000,A175)</f>
        <v>0</v>
      </c>
      <c r="D175" s="5">
        <f>SUMIFS(日記簿!$G$2:$G$1000,日記簿!$D$2:$D$1000,A175)</f>
        <v>0</v>
      </c>
      <c r="E175" s="5">
        <f t="shared" si="6"/>
        <v>0</v>
      </c>
      <c r="F175" s="6" t="s">
        <v>326</v>
      </c>
      <c r="G175" s="6"/>
    </row>
    <row r="176" spans="1:7" x14ac:dyDescent="0.3">
      <c r="A176" s="4" t="s">
        <v>379</v>
      </c>
      <c r="B176" s="4" t="s">
        <v>380</v>
      </c>
      <c r="C176" s="5">
        <f>SUMIFS(日記簿!$F$2:$F$1000,日記簿!$D$2:$D$1000,A176)</f>
        <v>0</v>
      </c>
      <c r="D176" s="5">
        <f>SUMIFS(日記簿!$G$2:$G$1000,日記簿!$D$2:$D$1000,A176)</f>
        <v>0</v>
      </c>
      <c r="E176" s="5">
        <f t="shared" si="6"/>
        <v>0</v>
      </c>
      <c r="F176" s="6" t="s">
        <v>326</v>
      </c>
      <c r="G176" s="6"/>
    </row>
    <row r="177" spans="1:7" x14ac:dyDescent="0.3">
      <c r="A177" s="4" t="s">
        <v>381</v>
      </c>
      <c r="B177" s="4" t="s">
        <v>382</v>
      </c>
      <c r="C177" s="5">
        <f>SUMIFS(日記簿!$F$2:$F$1000,日記簿!$D$2:$D$1000,A177)</f>
        <v>3688</v>
      </c>
      <c r="D177" s="5">
        <f>SUMIFS(日記簿!$G$2:$G$1000,日記簿!$D$2:$D$1000,A177)</f>
        <v>0</v>
      </c>
      <c r="E177" s="5">
        <f t="shared" ref="E177:E208" si="7">C177-D177</f>
        <v>3688</v>
      </c>
      <c r="F177" s="6" t="s">
        <v>326</v>
      </c>
      <c r="G177" s="6"/>
    </row>
    <row r="178" spans="1:7" x14ac:dyDescent="0.3">
      <c r="A178" s="4" t="s">
        <v>383</v>
      </c>
      <c r="B178" s="4" t="s">
        <v>384</v>
      </c>
      <c r="C178" s="5">
        <f>SUMIFS(日記簿!$F$2:$F$1000,日記簿!$D$2:$D$1000,A178)</f>
        <v>0</v>
      </c>
      <c r="D178" s="5">
        <f>SUMIFS(日記簿!$G$2:$G$1000,日記簿!$D$2:$D$1000,A178)</f>
        <v>0</v>
      </c>
      <c r="E178" s="5">
        <f t="shared" si="7"/>
        <v>0</v>
      </c>
      <c r="F178" s="6" t="s">
        <v>326</v>
      </c>
      <c r="G178" s="6"/>
    </row>
    <row r="179" spans="1:7" x14ac:dyDescent="0.3">
      <c r="A179" s="4" t="s">
        <v>385</v>
      </c>
      <c r="B179" s="4" t="s">
        <v>386</v>
      </c>
      <c r="C179" s="5">
        <f>SUMIFS(日記簿!$F$2:$F$1000,日記簿!$D$2:$D$1000,A179)</f>
        <v>0</v>
      </c>
      <c r="D179" s="5">
        <f>SUMIFS(日記簿!$G$2:$G$1000,日記簿!$D$2:$D$1000,A179)</f>
        <v>0</v>
      </c>
      <c r="E179" s="5">
        <f t="shared" si="7"/>
        <v>0</v>
      </c>
      <c r="F179" s="6" t="s">
        <v>326</v>
      </c>
      <c r="G179" s="6"/>
    </row>
    <row r="180" spans="1:7" x14ac:dyDescent="0.3">
      <c r="A180" s="4" t="s">
        <v>387</v>
      </c>
      <c r="B180" s="4" t="s">
        <v>388</v>
      </c>
      <c r="C180" s="5">
        <f>SUMIFS(日記簿!$F$2:$F$1000,日記簿!$D$2:$D$1000,A180)</f>
        <v>18950</v>
      </c>
      <c r="D180" s="5">
        <f>SUMIFS(日記簿!$G$2:$G$1000,日記簿!$D$2:$D$1000,A180)</f>
        <v>0</v>
      </c>
      <c r="E180" s="5">
        <f t="shared" si="7"/>
        <v>18950</v>
      </c>
      <c r="F180" s="6" t="s">
        <v>326</v>
      </c>
      <c r="G180" s="6"/>
    </row>
    <row r="181" spans="1:7" x14ac:dyDescent="0.3">
      <c r="A181" s="4" t="s">
        <v>389</v>
      </c>
      <c r="B181" s="4" t="s">
        <v>390</v>
      </c>
      <c r="C181" s="5">
        <f>SUMIFS(日記簿!$F$2:$F$1000,日記簿!$D$2:$D$1000,A181)</f>
        <v>0</v>
      </c>
      <c r="D181" s="5">
        <f>SUMIFS(日記簿!$G$2:$G$1000,日記簿!$D$2:$D$1000,A181)</f>
        <v>0</v>
      </c>
      <c r="E181" s="5">
        <f t="shared" si="7"/>
        <v>0</v>
      </c>
      <c r="F181" s="6" t="s">
        <v>326</v>
      </c>
      <c r="G181" s="6"/>
    </row>
    <row r="182" spans="1:7" x14ac:dyDescent="0.3">
      <c r="A182" s="4" t="s">
        <v>391</v>
      </c>
      <c r="B182" s="4" t="s">
        <v>392</v>
      </c>
      <c r="C182" s="5">
        <f>SUMIFS(日記簿!$F$2:$F$1000,日記簿!$D$2:$D$1000,A182)</f>
        <v>0</v>
      </c>
      <c r="D182" s="5">
        <f>SUMIFS(日記簿!$G$2:$G$1000,日記簿!$D$2:$D$1000,A182)</f>
        <v>0</v>
      </c>
      <c r="E182" s="5">
        <f t="shared" si="7"/>
        <v>0</v>
      </c>
      <c r="F182" s="6" t="s">
        <v>326</v>
      </c>
      <c r="G182" s="6"/>
    </row>
    <row r="183" spans="1:7" x14ac:dyDescent="0.3">
      <c r="A183" s="4" t="s">
        <v>393</v>
      </c>
      <c r="B183" s="4" t="s">
        <v>394</v>
      </c>
      <c r="C183" s="5">
        <f>SUMIFS(日記簿!$F$2:$F$1000,日記簿!$D$2:$D$1000,A183)</f>
        <v>0</v>
      </c>
      <c r="D183" s="5">
        <f>SUMIFS(日記簿!$G$2:$G$1000,日記簿!$D$2:$D$1000,A183)</f>
        <v>0</v>
      </c>
      <c r="E183" s="5">
        <f t="shared" si="7"/>
        <v>0</v>
      </c>
      <c r="F183" s="6" t="s">
        <v>326</v>
      </c>
      <c r="G183" s="6"/>
    </row>
    <row r="184" spans="1:7" x14ac:dyDescent="0.3">
      <c r="A184" s="4" t="s">
        <v>395</v>
      </c>
      <c r="B184" s="4" t="s">
        <v>396</v>
      </c>
      <c r="C184" s="5">
        <f>SUMIFS(日記簿!$F$2:$F$1000,日記簿!$D$2:$D$1000,A184)</f>
        <v>0</v>
      </c>
      <c r="D184" s="5">
        <f>SUMIFS(日記簿!$G$2:$G$1000,日記簿!$D$2:$D$1000,A184)</f>
        <v>0</v>
      </c>
      <c r="E184" s="5">
        <f t="shared" si="7"/>
        <v>0</v>
      </c>
      <c r="F184" s="6" t="s">
        <v>326</v>
      </c>
      <c r="G184" s="6"/>
    </row>
    <row r="185" spans="1:7" x14ac:dyDescent="0.3">
      <c r="A185" s="4" t="s">
        <v>397</v>
      </c>
      <c r="B185" s="4" t="s">
        <v>398</v>
      </c>
      <c r="C185" s="5">
        <f>SUMIFS(日記簿!$F$2:$F$1000,日記簿!$D$2:$D$1000,A185)</f>
        <v>0</v>
      </c>
      <c r="D185" s="5">
        <f>SUMIFS(日記簿!$G$2:$G$1000,日記簿!$D$2:$D$1000,A185)</f>
        <v>0</v>
      </c>
      <c r="E185" s="5">
        <f t="shared" si="7"/>
        <v>0</v>
      </c>
      <c r="F185" s="6" t="s">
        <v>326</v>
      </c>
      <c r="G185" s="6"/>
    </row>
    <row r="186" spans="1:7" x14ac:dyDescent="0.3">
      <c r="A186" s="4" t="s">
        <v>399</v>
      </c>
      <c r="B186" s="4" t="s">
        <v>400</v>
      </c>
      <c r="C186" s="5">
        <f>SUMIFS(日記簿!$F$2:$F$1000,日記簿!$D$2:$D$1000,A186)</f>
        <v>0</v>
      </c>
      <c r="D186" s="5">
        <f>SUMIFS(日記簿!$G$2:$G$1000,日記簿!$D$2:$D$1000,A186)</f>
        <v>0</v>
      </c>
      <c r="E186" s="5">
        <f t="shared" si="7"/>
        <v>0</v>
      </c>
      <c r="F186" s="6" t="s">
        <v>326</v>
      </c>
      <c r="G186" s="6"/>
    </row>
    <row r="187" spans="1:7" x14ac:dyDescent="0.3">
      <c r="A187" s="4" t="s">
        <v>401</v>
      </c>
      <c r="B187" s="4" t="s">
        <v>402</v>
      </c>
      <c r="C187" s="5">
        <f>SUMIFS(日記簿!$F$2:$F$1000,日記簿!$D$2:$D$1000,A187)</f>
        <v>0</v>
      </c>
      <c r="D187" s="5">
        <f>SUMIFS(日記簿!$G$2:$G$1000,日記簿!$D$2:$D$1000,A187)</f>
        <v>0</v>
      </c>
      <c r="E187" s="5">
        <f t="shared" si="7"/>
        <v>0</v>
      </c>
      <c r="F187" s="6" t="s">
        <v>326</v>
      </c>
      <c r="G187" s="6"/>
    </row>
    <row r="188" spans="1:7" x14ac:dyDescent="0.3">
      <c r="A188" s="4" t="s">
        <v>403</v>
      </c>
      <c r="B188" s="4" t="s">
        <v>404</v>
      </c>
      <c r="C188" s="5">
        <f>SUMIFS(日記簿!$F$2:$F$1000,日記簿!$D$2:$D$1000,A188)</f>
        <v>0</v>
      </c>
      <c r="D188" s="5">
        <f>SUMIFS(日記簿!$G$2:$G$1000,日記簿!$D$2:$D$1000,A188)</f>
        <v>0</v>
      </c>
      <c r="E188" s="5">
        <f t="shared" si="7"/>
        <v>0</v>
      </c>
      <c r="F188" s="6" t="s">
        <v>326</v>
      </c>
      <c r="G188" s="6"/>
    </row>
    <row r="189" spans="1:7" x14ac:dyDescent="0.3">
      <c r="A189" s="4" t="s">
        <v>405</v>
      </c>
      <c r="B189" s="4" t="s">
        <v>406</v>
      </c>
      <c r="C189" s="5">
        <f>SUMIFS(日記簿!$F$2:$F$1000,日記簿!$D$2:$D$1000,A189)</f>
        <v>0</v>
      </c>
      <c r="D189" s="5">
        <f>SUMIFS(日記簿!$G$2:$G$1000,日記簿!$D$2:$D$1000,A189)</f>
        <v>0</v>
      </c>
      <c r="E189" s="5">
        <f t="shared" si="7"/>
        <v>0</v>
      </c>
      <c r="F189" s="6" t="s">
        <v>326</v>
      </c>
      <c r="G189" s="6"/>
    </row>
    <row r="190" spans="1:7" x14ac:dyDescent="0.3">
      <c r="A190" s="4" t="s">
        <v>407</v>
      </c>
      <c r="B190" s="4" t="s">
        <v>408</v>
      </c>
      <c r="C190" s="5">
        <f>SUMIFS(日記簿!$F$2:$F$1000,日記簿!$D$2:$D$1000,A190)</f>
        <v>0</v>
      </c>
      <c r="D190" s="5">
        <f>SUMIFS(日記簿!$G$2:$G$1000,日記簿!$D$2:$D$1000,A190)</f>
        <v>0</v>
      </c>
      <c r="E190" s="5">
        <f t="shared" si="7"/>
        <v>0</v>
      </c>
      <c r="F190" s="6" t="s">
        <v>326</v>
      </c>
      <c r="G190" s="6"/>
    </row>
    <row r="191" spans="1:7" x14ac:dyDescent="0.3">
      <c r="A191" s="4" t="s">
        <v>409</v>
      </c>
      <c r="B191" s="4" t="s">
        <v>410</v>
      </c>
      <c r="C191" s="5">
        <f>SUMIFS(日記簿!$F$2:$F$1000,日記簿!$D$2:$D$1000,A191)</f>
        <v>0</v>
      </c>
      <c r="D191" s="5">
        <f>SUMIFS(日記簿!$G$2:$G$1000,日記簿!$D$2:$D$1000,A191)</f>
        <v>0</v>
      </c>
      <c r="E191" s="5">
        <f t="shared" si="7"/>
        <v>0</v>
      </c>
      <c r="F191" s="6" t="s">
        <v>326</v>
      </c>
      <c r="G191" s="6"/>
    </row>
    <row r="192" spans="1:7" x14ac:dyDescent="0.3">
      <c r="A192" s="4" t="s">
        <v>411</v>
      </c>
      <c r="B192" s="4" t="s">
        <v>412</v>
      </c>
      <c r="C192" s="5">
        <f>SUMIFS(日記簿!$F$2:$F$1000,日記簿!$D$2:$D$1000,A192)</f>
        <v>0</v>
      </c>
      <c r="D192" s="5">
        <f>SUMIFS(日記簿!$G$2:$G$1000,日記簿!$D$2:$D$1000,A192)</f>
        <v>0</v>
      </c>
      <c r="E192" s="5">
        <f t="shared" si="7"/>
        <v>0</v>
      </c>
      <c r="F192" s="6" t="s">
        <v>326</v>
      </c>
      <c r="G192" s="6"/>
    </row>
    <row r="193" spans="1:7" x14ac:dyDescent="0.3">
      <c r="A193" s="4" t="s">
        <v>413</v>
      </c>
      <c r="B193" s="4" t="s">
        <v>414</v>
      </c>
      <c r="C193" s="5">
        <f>SUMIFS(日記簿!$F$2:$F$1000,日記簿!$D$2:$D$1000,A193)</f>
        <v>0</v>
      </c>
      <c r="D193" s="5">
        <f>SUMIFS(日記簿!$G$2:$G$1000,日記簿!$D$2:$D$1000,A193)</f>
        <v>0</v>
      </c>
      <c r="E193" s="5">
        <f t="shared" si="7"/>
        <v>0</v>
      </c>
      <c r="F193" s="6" t="s">
        <v>326</v>
      </c>
      <c r="G193" s="6"/>
    </row>
    <row r="194" spans="1:7" x14ac:dyDescent="0.3">
      <c r="A194" s="4" t="s">
        <v>415</v>
      </c>
      <c r="B194" s="4" t="s">
        <v>416</v>
      </c>
      <c r="C194" s="5">
        <f>SUMIFS(日記簿!$F$2:$F$1000,日記簿!$D$2:$D$1000,A194)</f>
        <v>0</v>
      </c>
      <c r="D194" s="5">
        <f>SUMIFS(日記簿!$G$2:$G$1000,日記簿!$D$2:$D$1000,A194)</f>
        <v>0</v>
      </c>
      <c r="E194" s="5">
        <f t="shared" si="7"/>
        <v>0</v>
      </c>
      <c r="F194" s="6" t="s">
        <v>326</v>
      </c>
      <c r="G194" s="6"/>
    </row>
    <row r="195" spans="1:7" x14ac:dyDescent="0.3">
      <c r="A195" s="4" t="s">
        <v>417</v>
      </c>
      <c r="B195" s="4" t="s">
        <v>418</v>
      </c>
      <c r="C195" s="5">
        <f>SUMIFS(日記簿!$F$2:$F$1000,日記簿!$D$2:$D$1000,A195)</f>
        <v>0</v>
      </c>
      <c r="D195" s="5">
        <f>SUMIFS(日記簿!$G$2:$G$1000,日記簿!$D$2:$D$1000,A195)</f>
        <v>0</v>
      </c>
      <c r="E195" s="5">
        <f t="shared" si="7"/>
        <v>0</v>
      </c>
      <c r="F195" s="6" t="s">
        <v>326</v>
      </c>
      <c r="G195" s="6"/>
    </row>
    <row r="196" spans="1:7" x14ac:dyDescent="0.3">
      <c r="A196" s="4" t="s">
        <v>419</v>
      </c>
      <c r="B196" s="4" t="s">
        <v>420</v>
      </c>
      <c r="C196" s="5">
        <f>SUMIFS(日記簿!$F$2:$F$1000,日記簿!$D$2:$D$1000,A196)</f>
        <v>0</v>
      </c>
      <c r="D196" s="5">
        <f>SUMIFS(日記簿!$G$2:$G$1000,日記簿!$D$2:$D$1000,A196)</f>
        <v>0</v>
      </c>
      <c r="E196" s="5">
        <f t="shared" si="7"/>
        <v>0</v>
      </c>
      <c r="F196" s="6" t="s">
        <v>326</v>
      </c>
      <c r="G196" s="6"/>
    </row>
    <row r="197" spans="1:7" x14ac:dyDescent="0.3">
      <c r="A197" s="4" t="s">
        <v>421</v>
      </c>
      <c r="B197" s="4" t="s">
        <v>422</v>
      </c>
      <c r="C197" s="5">
        <f>SUMIFS(日記簿!$F$2:$F$1000,日記簿!$D$2:$D$1000,A197)</f>
        <v>0</v>
      </c>
      <c r="D197" s="5">
        <f>SUMIFS(日記簿!$G$2:$G$1000,日記簿!$D$2:$D$1000,A197)</f>
        <v>0</v>
      </c>
      <c r="E197" s="5">
        <f t="shared" si="7"/>
        <v>0</v>
      </c>
      <c r="F197" s="6" t="s">
        <v>326</v>
      </c>
      <c r="G197" s="6"/>
    </row>
    <row r="198" spans="1:7" x14ac:dyDescent="0.3">
      <c r="A198" s="4" t="s">
        <v>423</v>
      </c>
      <c r="B198" s="4" t="s">
        <v>424</v>
      </c>
      <c r="C198" s="5">
        <f>SUMIFS(日記簿!$F$2:$F$1000,日記簿!$D$2:$D$1000,A198)</f>
        <v>0</v>
      </c>
      <c r="D198" s="5">
        <f>SUMIFS(日記簿!$G$2:$G$1000,日記簿!$D$2:$D$1000,A198)</f>
        <v>0</v>
      </c>
      <c r="E198" s="5">
        <f t="shared" si="7"/>
        <v>0</v>
      </c>
      <c r="F198" s="6" t="s">
        <v>326</v>
      </c>
      <c r="G198" s="6"/>
    </row>
    <row r="199" spans="1:7" x14ac:dyDescent="0.3">
      <c r="A199" s="4" t="s">
        <v>425</v>
      </c>
      <c r="B199" s="4" t="s">
        <v>426</v>
      </c>
      <c r="C199" s="5">
        <f>SUMIFS(日記簿!$F$2:$F$1000,日記簿!$D$2:$D$1000,A199)</f>
        <v>0</v>
      </c>
      <c r="D199" s="5">
        <f>SUMIFS(日記簿!$G$2:$G$1000,日記簿!$D$2:$D$1000,A199)</f>
        <v>0</v>
      </c>
      <c r="E199" s="5">
        <f t="shared" si="7"/>
        <v>0</v>
      </c>
      <c r="F199" s="6" t="s">
        <v>326</v>
      </c>
      <c r="G199" s="6"/>
    </row>
    <row r="200" spans="1:7" x14ac:dyDescent="0.3">
      <c r="A200" s="4" t="s">
        <v>427</v>
      </c>
      <c r="B200" s="4" t="s">
        <v>428</v>
      </c>
      <c r="C200" s="5">
        <f>SUMIFS(日記簿!$F$2:$F$1000,日記簿!$D$2:$D$1000,A200)</f>
        <v>0</v>
      </c>
      <c r="D200" s="5">
        <f>SUMIFS(日記簿!$G$2:$G$1000,日記簿!$D$2:$D$1000,A200)</f>
        <v>0</v>
      </c>
      <c r="E200" s="5">
        <f t="shared" si="7"/>
        <v>0</v>
      </c>
      <c r="F200" s="6" t="s">
        <v>326</v>
      </c>
      <c r="G200" s="6"/>
    </row>
    <row r="201" spans="1:7" x14ac:dyDescent="0.3">
      <c r="A201" s="4" t="s">
        <v>429</v>
      </c>
      <c r="B201" s="4" t="s">
        <v>430</v>
      </c>
      <c r="C201" s="5">
        <f>SUMIFS(日記簿!$F$2:$F$1000,日記簿!$D$2:$D$1000,A201)</f>
        <v>0</v>
      </c>
      <c r="D201" s="5">
        <f>SUMIFS(日記簿!$G$2:$G$1000,日記簿!$D$2:$D$1000,A201)</f>
        <v>0</v>
      </c>
      <c r="E201" s="5">
        <f t="shared" si="7"/>
        <v>0</v>
      </c>
      <c r="F201" s="6" t="s">
        <v>326</v>
      </c>
      <c r="G201" s="6"/>
    </row>
    <row r="202" spans="1:7" x14ac:dyDescent="0.3">
      <c r="A202" s="4" t="s">
        <v>431</v>
      </c>
      <c r="B202" s="4" t="s">
        <v>432</v>
      </c>
      <c r="C202" s="5">
        <f>SUMIFS(日記簿!$F$2:$F$1000,日記簿!$D$2:$D$1000,A202)</f>
        <v>0</v>
      </c>
      <c r="D202" s="5">
        <f>SUMIFS(日記簿!$G$2:$G$1000,日記簿!$D$2:$D$1000,A202)</f>
        <v>0</v>
      </c>
      <c r="E202" s="5">
        <f t="shared" ref="E202:E214" si="8">D202-C202</f>
        <v>0</v>
      </c>
      <c r="F202" s="6" t="s">
        <v>433</v>
      </c>
      <c r="G202" s="6"/>
    </row>
    <row r="203" spans="1:7" x14ac:dyDescent="0.3">
      <c r="A203" s="4" t="s">
        <v>434</v>
      </c>
      <c r="B203" s="4" t="s">
        <v>435</v>
      </c>
      <c r="C203" s="5">
        <f>SUMIFS(日記簿!$F$2:$F$1000,日記簿!$D$2:$D$1000,A203)</f>
        <v>0</v>
      </c>
      <c r="D203" s="5">
        <f>SUMIFS(日記簿!$G$2:$G$1000,日記簿!$D$2:$D$1000,A203)</f>
        <v>0</v>
      </c>
      <c r="E203" s="5">
        <f t="shared" si="8"/>
        <v>0</v>
      </c>
      <c r="F203" s="6" t="s">
        <v>433</v>
      </c>
      <c r="G203" s="6"/>
    </row>
    <row r="204" spans="1:7" x14ac:dyDescent="0.3">
      <c r="A204" s="4" t="s">
        <v>436</v>
      </c>
      <c r="B204" s="4" t="s">
        <v>437</v>
      </c>
      <c r="C204" s="5">
        <f>SUMIFS(日記簿!$F$2:$F$1000,日記簿!$D$2:$D$1000,A204)</f>
        <v>0</v>
      </c>
      <c r="D204" s="5">
        <f>SUMIFS(日記簿!$G$2:$G$1000,日記簿!$D$2:$D$1000,A204)</f>
        <v>0</v>
      </c>
      <c r="E204" s="5">
        <f t="shared" si="8"/>
        <v>0</v>
      </c>
      <c r="F204" s="6" t="s">
        <v>433</v>
      </c>
      <c r="G204" s="6"/>
    </row>
    <row r="205" spans="1:7" x14ac:dyDescent="0.3">
      <c r="A205" s="4" t="s">
        <v>438</v>
      </c>
      <c r="B205" s="4" t="s">
        <v>439</v>
      </c>
      <c r="C205" s="5">
        <f>SUMIFS(日記簿!$F$2:$F$1000,日記簿!$D$2:$D$1000,A205)</f>
        <v>0</v>
      </c>
      <c r="D205" s="5">
        <f>SUMIFS(日記簿!$G$2:$G$1000,日記簿!$D$2:$D$1000,A205)</f>
        <v>0</v>
      </c>
      <c r="E205" s="5">
        <f t="shared" si="8"/>
        <v>0</v>
      </c>
      <c r="F205" s="6" t="s">
        <v>433</v>
      </c>
      <c r="G205" s="6"/>
    </row>
    <row r="206" spans="1:7" x14ac:dyDescent="0.3">
      <c r="A206" s="4" t="s">
        <v>440</v>
      </c>
      <c r="B206" s="4" t="s">
        <v>441</v>
      </c>
      <c r="C206" s="5">
        <f>SUMIFS(日記簿!$F$2:$F$1000,日記簿!$D$2:$D$1000,A206)</f>
        <v>0</v>
      </c>
      <c r="D206" s="5">
        <f>SUMIFS(日記簿!$G$2:$G$1000,日記簿!$D$2:$D$1000,A206)</f>
        <v>0</v>
      </c>
      <c r="E206" s="5">
        <f t="shared" si="8"/>
        <v>0</v>
      </c>
      <c r="F206" s="6" t="s">
        <v>433</v>
      </c>
      <c r="G206" s="6"/>
    </row>
    <row r="207" spans="1:7" x14ac:dyDescent="0.3">
      <c r="A207" s="4" t="s">
        <v>442</v>
      </c>
      <c r="B207" s="4" t="s">
        <v>443</v>
      </c>
      <c r="C207" s="5">
        <f>SUMIFS(日記簿!$F$2:$F$1000,日記簿!$D$2:$D$1000,A207)</f>
        <v>0</v>
      </c>
      <c r="D207" s="5">
        <f>SUMIFS(日記簿!$G$2:$G$1000,日記簿!$D$2:$D$1000,A207)</f>
        <v>0</v>
      </c>
      <c r="E207" s="5">
        <f t="shared" si="8"/>
        <v>0</v>
      </c>
      <c r="F207" s="6" t="s">
        <v>433</v>
      </c>
      <c r="G207" s="6"/>
    </row>
    <row r="208" spans="1:7" x14ac:dyDescent="0.3">
      <c r="A208" s="4" t="s">
        <v>444</v>
      </c>
      <c r="B208" s="4" t="s">
        <v>445</v>
      </c>
      <c r="C208" s="5">
        <f>SUMIFS(日記簿!$F$2:$F$1000,日記簿!$D$2:$D$1000,A208)</f>
        <v>0</v>
      </c>
      <c r="D208" s="5">
        <f>SUMIFS(日記簿!$G$2:$G$1000,日記簿!$D$2:$D$1000,A208)</f>
        <v>0</v>
      </c>
      <c r="E208" s="5">
        <f t="shared" si="8"/>
        <v>0</v>
      </c>
      <c r="F208" s="6" t="s">
        <v>433</v>
      </c>
      <c r="G208" s="6"/>
    </row>
    <row r="209" spans="1:7" x14ac:dyDescent="0.3">
      <c r="A209" s="4" t="s">
        <v>446</v>
      </c>
      <c r="B209" s="4" t="s">
        <v>447</v>
      </c>
      <c r="C209" s="5">
        <f>SUMIFS(日記簿!$F$2:$F$1000,日記簿!$D$2:$D$1000,A209)</f>
        <v>0</v>
      </c>
      <c r="D209" s="5">
        <f>SUMIFS(日記簿!$G$2:$G$1000,日記簿!$D$2:$D$1000,A209)</f>
        <v>0</v>
      </c>
      <c r="E209" s="5">
        <f t="shared" si="8"/>
        <v>0</v>
      </c>
      <c r="F209" s="6" t="s">
        <v>433</v>
      </c>
      <c r="G209" s="6"/>
    </row>
    <row r="210" spans="1:7" x14ac:dyDescent="0.3">
      <c r="A210" s="4" t="s">
        <v>448</v>
      </c>
      <c r="B210" s="4" t="s">
        <v>449</v>
      </c>
      <c r="C210" s="5">
        <f>SUMIFS(日記簿!$F$2:$F$1000,日記簿!$D$2:$D$1000,A210)</f>
        <v>0</v>
      </c>
      <c r="D210" s="5">
        <f>SUMIFS(日記簿!$G$2:$G$1000,日記簿!$D$2:$D$1000,A210)</f>
        <v>0</v>
      </c>
      <c r="E210" s="5">
        <f t="shared" si="8"/>
        <v>0</v>
      </c>
      <c r="F210" s="6" t="s">
        <v>433</v>
      </c>
      <c r="G210" s="6"/>
    </row>
    <row r="211" spans="1:7" x14ac:dyDescent="0.3">
      <c r="A211" s="4" t="s">
        <v>450</v>
      </c>
      <c r="B211" s="4" t="s">
        <v>451</v>
      </c>
      <c r="C211" s="5">
        <f>SUMIFS(日記簿!$F$2:$F$1000,日記簿!$D$2:$D$1000,A211)</f>
        <v>0</v>
      </c>
      <c r="D211" s="5">
        <f>SUMIFS(日記簿!$G$2:$G$1000,日記簿!$D$2:$D$1000,A211)</f>
        <v>0</v>
      </c>
      <c r="E211" s="5">
        <f t="shared" si="8"/>
        <v>0</v>
      </c>
      <c r="F211" s="6" t="s">
        <v>433</v>
      </c>
      <c r="G211" s="6"/>
    </row>
    <row r="212" spans="1:7" x14ac:dyDescent="0.3">
      <c r="A212" s="4" t="s">
        <v>452</v>
      </c>
      <c r="B212" s="4" t="s">
        <v>453</v>
      </c>
      <c r="C212" s="5">
        <f>SUMIFS(日記簿!$F$2:$F$1000,日記簿!$D$2:$D$1000,A212)</f>
        <v>0</v>
      </c>
      <c r="D212" s="5">
        <f>SUMIFS(日記簿!$G$2:$G$1000,日記簿!$D$2:$D$1000,A212)</f>
        <v>0</v>
      </c>
      <c r="E212" s="5">
        <f t="shared" si="8"/>
        <v>0</v>
      </c>
      <c r="F212" s="6" t="s">
        <v>433</v>
      </c>
      <c r="G212" s="6"/>
    </row>
    <row r="213" spans="1:7" x14ac:dyDescent="0.3">
      <c r="A213" s="4" t="s">
        <v>454</v>
      </c>
      <c r="B213" s="4" t="s">
        <v>445</v>
      </c>
      <c r="C213" s="5">
        <f>SUMIFS(日記簿!$F$2:$F$1000,日記簿!$D$2:$D$1000,A213)</f>
        <v>0</v>
      </c>
      <c r="D213" s="5">
        <f>SUMIFS(日記簿!$G$2:$G$1000,日記簿!$D$2:$D$1000,A213)</f>
        <v>0</v>
      </c>
      <c r="E213" s="5">
        <f t="shared" si="8"/>
        <v>0</v>
      </c>
      <c r="F213" s="6" t="s">
        <v>433</v>
      </c>
      <c r="G213" s="6"/>
    </row>
    <row r="214" spans="1:7" x14ac:dyDescent="0.3">
      <c r="A214" s="4" t="s">
        <v>455</v>
      </c>
      <c r="B214" s="4" t="s">
        <v>456</v>
      </c>
      <c r="C214" s="5">
        <f>SUMIFS(日記簿!$F$2:$F$1000,日記簿!$D$2:$D$1000,A214)</f>
        <v>0</v>
      </c>
      <c r="D214" s="5">
        <f>SUMIFS(日記簿!$G$2:$G$1000,日記簿!$D$2:$D$1000,A214)</f>
        <v>0</v>
      </c>
      <c r="E214" s="5">
        <f t="shared" si="8"/>
        <v>0</v>
      </c>
      <c r="F214" s="6" t="s">
        <v>433</v>
      </c>
      <c r="G214" s="6"/>
    </row>
    <row r="215" spans="1:7" x14ac:dyDescent="0.3">
      <c r="A215" s="4" t="s">
        <v>457</v>
      </c>
      <c r="B215" s="4" t="s">
        <v>458</v>
      </c>
      <c r="C215" s="5">
        <f>SUMIFS(日記簿!$F$2:$F$1000,日記簿!$D$2:$D$1000,A215)</f>
        <v>0</v>
      </c>
      <c r="D215" s="5">
        <f>SUMIFS(日記簿!$G$2:$G$1000,日記簿!$D$2:$D$1000,A215)</f>
        <v>0</v>
      </c>
      <c r="E215" s="5">
        <f t="shared" ref="E215:E225" si="9">C215-D215</f>
        <v>0</v>
      </c>
      <c r="F215" s="6" t="s">
        <v>459</v>
      </c>
      <c r="G215" s="6"/>
    </row>
    <row r="216" spans="1:7" x14ac:dyDescent="0.3">
      <c r="A216" s="4" t="s">
        <v>460</v>
      </c>
      <c r="B216" s="4" t="s">
        <v>461</v>
      </c>
      <c r="C216" s="5">
        <f>SUMIFS(日記簿!$F$2:$F$1000,日記簿!$D$2:$D$1000,A216)</f>
        <v>0</v>
      </c>
      <c r="D216" s="5">
        <f>SUMIFS(日記簿!$G$2:$G$1000,日記簿!$D$2:$D$1000,A216)</f>
        <v>0</v>
      </c>
      <c r="E216" s="5">
        <f t="shared" si="9"/>
        <v>0</v>
      </c>
      <c r="F216" s="6" t="s">
        <v>459</v>
      </c>
      <c r="G216" s="6"/>
    </row>
    <row r="217" spans="1:7" x14ac:dyDescent="0.3">
      <c r="A217" s="4" t="s">
        <v>462</v>
      </c>
      <c r="B217" s="4" t="s">
        <v>463</v>
      </c>
      <c r="C217" s="5">
        <f>SUMIFS(日記簿!$F$2:$F$1000,日記簿!$D$2:$D$1000,A217)</f>
        <v>0</v>
      </c>
      <c r="D217" s="5">
        <f>SUMIFS(日記簿!$G$2:$G$1000,日記簿!$D$2:$D$1000,A217)</f>
        <v>0</v>
      </c>
      <c r="E217" s="5">
        <f t="shared" si="9"/>
        <v>0</v>
      </c>
      <c r="F217" s="6" t="s">
        <v>459</v>
      </c>
      <c r="G217" s="6"/>
    </row>
    <row r="218" spans="1:7" x14ac:dyDescent="0.3">
      <c r="A218" s="4" t="s">
        <v>464</v>
      </c>
      <c r="B218" s="4" t="s">
        <v>465</v>
      </c>
      <c r="C218" s="5">
        <f>SUMIFS(日記簿!$F$2:$F$1000,日記簿!$D$2:$D$1000,A218)</f>
        <v>0</v>
      </c>
      <c r="D218" s="5">
        <f>SUMIFS(日記簿!$G$2:$G$1000,日記簿!$D$2:$D$1000,A218)</f>
        <v>0</v>
      </c>
      <c r="E218" s="5">
        <f t="shared" si="9"/>
        <v>0</v>
      </c>
      <c r="F218" s="6" t="s">
        <v>459</v>
      </c>
      <c r="G218" s="6"/>
    </row>
    <row r="219" spans="1:7" x14ac:dyDescent="0.3">
      <c r="A219" s="4" t="s">
        <v>466</v>
      </c>
      <c r="B219" s="4" t="s">
        <v>467</v>
      </c>
      <c r="C219" s="5">
        <f>SUMIFS(日記簿!$F$2:$F$1000,日記簿!$D$2:$D$1000,A219)</f>
        <v>0</v>
      </c>
      <c r="D219" s="5">
        <f>SUMIFS(日記簿!$G$2:$G$1000,日記簿!$D$2:$D$1000,A219)</f>
        <v>0</v>
      </c>
      <c r="E219" s="5">
        <f t="shared" si="9"/>
        <v>0</v>
      </c>
      <c r="F219" s="6" t="s">
        <v>459</v>
      </c>
      <c r="G219" s="6"/>
    </row>
    <row r="220" spans="1:7" x14ac:dyDescent="0.3">
      <c r="A220" s="4" t="s">
        <v>468</v>
      </c>
      <c r="B220" s="4" t="s">
        <v>469</v>
      </c>
      <c r="C220" s="5">
        <f>SUMIFS(日記簿!$F$2:$F$1000,日記簿!$D$2:$D$1000,A220)</f>
        <v>0</v>
      </c>
      <c r="D220" s="5">
        <f>SUMIFS(日記簿!$G$2:$G$1000,日記簿!$D$2:$D$1000,A220)</f>
        <v>0</v>
      </c>
      <c r="E220" s="5">
        <f t="shared" si="9"/>
        <v>0</v>
      </c>
      <c r="F220" s="6" t="s">
        <v>459</v>
      </c>
      <c r="G220" s="6"/>
    </row>
    <row r="221" spans="1:7" x14ac:dyDescent="0.3">
      <c r="A221" s="4" t="s">
        <v>470</v>
      </c>
      <c r="B221" s="4" t="s">
        <v>471</v>
      </c>
      <c r="C221" s="5">
        <f>SUMIFS(日記簿!$F$2:$F$1000,日記簿!$D$2:$D$1000,A221)</f>
        <v>0</v>
      </c>
      <c r="D221" s="5">
        <f>SUMIFS(日記簿!$G$2:$G$1000,日記簿!$D$2:$D$1000,A221)</f>
        <v>0</v>
      </c>
      <c r="E221" s="5">
        <f t="shared" si="9"/>
        <v>0</v>
      </c>
      <c r="F221" s="6" t="s">
        <v>459</v>
      </c>
      <c r="G221" s="6"/>
    </row>
    <row r="222" spans="1:7" x14ac:dyDescent="0.3">
      <c r="A222" s="4" t="s">
        <v>472</v>
      </c>
      <c r="B222" s="4" t="s">
        <v>473</v>
      </c>
      <c r="C222" s="5">
        <f>SUMIFS(日記簿!$F$2:$F$1000,日記簿!$D$2:$D$1000,A222)</f>
        <v>0</v>
      </c>
      <c r="D222" s="5">
        <f>SUMIFS(日記簿!$G$2:$G$1000,日記簿!$D$2:$D$1000,A222)</f>
        <v>0</v>
      </c>
      <c r="E222" s="5">
        <f t="shared" si="9"/>
        <v>0</v>
      </c>
      <c r="F222" s="6" t="s">
        <v>459</v>
      </c>
      <c r="G222" s="6"/>
    </row>
    <row r="223" spans="1:7" x14ac:dyDescent="0.3">
      <c r="A223" s="4" t="s">
        <v>474</v>
      </c>
      <c r="B223" s="4" t="s">
        <v>358</v>
      </c>
      <c r="C223" s="5">
        <f>SUMIFS(日記簿!$F$2:$F$1000,日記簿!$D$2:$D$1000,A223)</f>
        <v>0</v>
      </c>
      <c r="D223" s="5">
        <f>SUMIFS(日記簿!$G$2:$G$1000,日記簿!$D$2:$D$1000,A223)</f>
        <v>0</v>
      </c>
      <c r="E223" s="5">
        <f t="shared" si="9"/>
        <v>0</v>
      </c>
      <c r="F223" s="6" t="s">
        <v>459</v>
      </c>
      <c r="G223" s="6"/>
    </row>
    <row r="224" spans="1:7" x14ac:dyDescent="0.3">
      <c r="A224" s="4" t="s">
        <v>475</v>
      </c>
      <c r="B224" s="4" t="s">
        <v>476</v>
      </c>
      <c r="C224" s="5">
        <f>SUMIFS(日記簿!$F$2:$F$1000,日記簿!$D$2:$D$1000,A224)</f>
        <v>0</v>
      </c>
      <c r="D224" s="5">
        <f>SUMIFS(日記簿!$G$2:$G$1000,日記簿!$D$2:$D$1000,A224)</f>
        <v>0</v>
      </c>
      <c r="E224" s="5">
        <f t="shared" si="9"/>
        <v>0</v>
      </c>
      <c r="F224" s="6" t="s">
        <v>477</v>
      </c>
      <c r="G224" s="6"/>
    </row>
    <row r="225" spans="1:7" x14ac:dyDescent="0.3">
      <c r="A225" s="4" t="s">
        <v>478</v>
      </c>
      <c r="B225" s="4" t="s">
        <v>479</v>
      </c>
      <c r="C225" s="5">
        <f>SUMIFS(日記簿!$F$2:$F$1000,日記簿!$D$2:$D$1000,A225)</f>
        <v>0</v>
      </c>
      <c r="D225" s="5">
        <f>SUMIFS(日記簿!$G$2:$G$1000,日記簿!$D$2:$D$1000,A225)</f>
        <v>0</v>
      </c>
      <c r="E225" s="5">
        <f t="shared" si="9"/>
        <v>0</v>
      </c>
      <c r="F225" s="6" t="s">
        <v>477</v>
      </c>
      <c r="G225" s="6"/>
    </row>
    <row r="226" spans="1:7" x14ac:dyDescent="0.3">
      <c r="B226" s="7" t="s">
        <v>489</v>
      </c>
      <c r="C226" s="8">
        <f>SUM(C2:C225)</f>
        <v>7665917</v>
      </c>
      <c r="D226" s="8">
        <f>SUM(D2:D225)</f>
        <v>7665917</v>
      </c>
    </row>
    <row r="228" spans="1:7" x14ac:dyDescent="0.3">
      <c r="A228" s="9" t="s">
        <v>490</v>
      </c>
      <c r="C228" s="10" t="str">
        <f>IF(C226=D226,"✓ 平衡","✗ 不平衡")</f>
        <v>✓ 平衡</v>
      </c>
    </row>
  </sheetData>
  <phoneticPr fontId="1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3"/>
  <sheetViews>
    <sheetView topLeftCell="A85" workbookViewId="0">
      <selection activeCell="F103" sqref="F103"/>
    </sheetView>
  </sheetViews>
  <sheetFormatPr defaultRowHeight="15" x14ac:dyDescent="0.3"/>
  <cols>
    <col min="1" max="2" width="12" customWidth="1"/>
    <col min="3" max="3" width="20" customWidth="1"/>
    <col min="4" max="4" width="10" customWidth="1"/>
    <col min="5" max="5" width="25" customWidth="1"/>
    <col min="6" max="7" width="15" customWidth="1"/>
  </cols>
  <sheetData>
    <row r="1" spans="1:7" x14ac:dyDescent="0.3">
      <c r="A1" s="3" t="s">
        <v>480</v>
      </c>
      <c r="B1" s="3" t="s">
        <v>481</v>
      </c>
      <c r="C1" s="3" t="s">
        <v>482</v>
      </c>
      <c r="D1" s="3" t="s">
        <v>15</v>
      </c>
      <c r="E1" s="3" t="s">
        <v>16</v>
      </c>
      <c r="F1" s="3" t="s">
        <v>483</v>
      </c>
      <c r="G1" s="3" t="s">
        <v>484</v>
      </c>
    </row>
    <row r="2" spans="1:7" x14ac:dyDescent="0.3">
      <c r="A2">
        <v>20250101001</v>
      </c>
      <c r="B2" t="s">
        <v>485</v>
      </c>
      <c r="D2" t="s">
        <v>27</v>
      </c>
      <c r="E2" t="str">
        <f>IFERROR(VLOOKUP(D2,科目表!$A:$B,2,FALSE),"")</f>
        <v>銀行存款-國泰</v>
      </c>
      <c r="F2" s="5">
        <v>0</v>
      </c>
      <c r="G2" s="5"/>
    </row>
    <row r="3" spans="1:7" x14ac:dyDescent="0.3">
      <c r="A3">
        <v>20250101001</v>
      </c>
      <c r="B3" t="s">
        <v>485</v>
      </c>
      <c r="D3" t="s">
        <v>271</v>
      </c>
      <c r="E3" t="str">
        <f>IFERROR(VLOOKUP(D3,科目表!$A:$B,2,FALSE),"")</f>
        <v>實收資本</v>
      </c>
      <c r="F3" s="5"/>
      <c r="G3" s="5">
        <v>0</v>
      </c>
    </row>
    <row r="4" spans="1:7" x14ac:dyDescent="0.3">
      <c r="A4">
        <v>20250101001</v>
      </c>
      <c r="B4" t="s">
        <v>485</v>
      </c>
      <c r="C4" t="s">
        <v>718</v>
      </c>
      <c r="D4">
        <v>11121</v>
      </c>
      <c r="E4" t="str">
        <f>IF(D4="","",IFERROR(VLOOKUP(TEXT(D4,"0"),科目表!$A:$B,2,FALSE),""))</f>
        <v>銀行存款-國泰</v>
      </c>
      <c r="F4" s="5">
        <v>19879</v>
      </c>
      <c r="G4" s="5"/>
    </row>
    <row r="5" spans="1:7" x14ac:dyDescent="0.3">
      <c r="A5">
        <v>20250101001</v>
      </c>
      <c r="B5" t="s">
        <v>485</v>
      </c>
      <c r="C5" t="s">
        <v>718</v>
      </c>
      <c r="D5">
        <v>11122</v>
      </c>
      <c r="E5" t="str">
        <f>IF(D5="","",IFERROR(VLOOKUP(TEXT(D5,"0"),科目表!$A:$B,2,FALSE),""))</f>
        <v>銀行存款-合庫</v>
      </c>
      <c r="F5" s="5">
        <v>29835</v>
      </c>
      <c r="G5" s="5"/>
    </row>
    <row r="6" spans="1:7" x14ac:dyDescent="0.3">
      <c r="A6">
        <v>20250101001</v>
      </c>
      <c r="B6" t="s">
        <v>485</v>
      </c>
      <c r="C6" t="s">
        <v>718</v>
      </c>
      <c r="D6">
        <v>1144</v>
      </c>
      <c r="E6" t="str">
        <f>IF(D6="","",IFERROR(VLOOKUP(TEXT(D6,"0"),科目表!$A:$B,2,FALSE),""))</f>
        <v>進項稅額</v>
      </c>
      <c r="F6" s="5">
        <v>11794</v>
      </c>
      <c r="G6" s="5"/>
    </row>
    <row r="7" spans="1:7" x14ac:dyDescent="0.3">
      <c r="A7">
        <v>20250101001</v>
      </c>
      <c r="B7" t="s">
        <v>485</v>
      </c>
      <c r="C7" t="s">
        <v>718</v>
      </c>
      <c r="D7">
        <v>1461</v>
      </c>
      <c r="E7" t="str">
        <f>IF(D7="","",IFERROR(VLOOKUP(TEXT(D7,"0"),科目表!$A:$B,2,FALSE),""))</f>
        <v>生財器具</v>
      </c>
      <c r="F7" s="5">
        <v>300000</v>
      </c>
      <c r="G7" s="5"/>
    </row>
    <row r="8" spans="1:7" x14ac:dyDescent="0.3">
      <c r="A8">
        <v>20250101001</v>
      </c>
      <c r="B8" t="s">
        <v>485</v>
      </c>
      <c r="C8" t="s">
        <v>718</v>
      </c>
      <c r="D8">
        <v>1462</v>
      </c>
      <c r="E8" t="str">
        <f>IF(D8="","",IFERROR(VLOOKUP(TEXT(D8,"0"),科目表!$A:$B,2,FALSE),""))</f>
        <v>減:累計折舊-生財器具</v>
      </c>
      <c r="F8" s="5"/>
      <c r="G8" s="5">
        <v>106250</v>
      </c>
    </row>
    <row r="9" spans="1:7" x14ac:dyDescent="0.3">
      <c r="A9">
        <v>20250101001</v>
      </c>
      <c r="B9" t="s">
        <v>485</v>
      </c>
      <c r="C9" t="s">
        <v>718</v>
      </c>
      <c r="D9">
        <v>1901</v>
      </c>
      <c r="E9" t="str">
        <f>IF(D9="","",IFERROR(VLOOKUP(TEXT(D9,"0"),科目表!$A:$B,2,FALSE),""))</f>
        <v>存出保證金</v>
      </c>
      <c r="F9" s="5">
        <v>50000</v>
      </c>
      <c r="G9" s="5"/>
    </row>
    <row r="10" spans="1:7" x14ac:dyDescent="0.3">
      <c r="A10">
        <v>20250101001</v>
      </c>
      <c r="B10" t="s">
        <v>485</v>
      </c>
      <c r="C10" t="s">
        <v>718</v>
      </c>
      <c r="D10">
        <v>2112</v>
      </c>
      <c r="E10" t="str">
        <f>IF(D10="","",IFERROR(VLOOKUP(TEXT(D10,"0"),科目表!$A:$B,2,FALSE),""))</f>
        <v>銀行借款</v>
      </c>
      <c r="F10" s="5"/>
      <c r="G10" s="5">
        <v>425360</v>
      </c>
    </row>
    <row r="11" spans="1:7" x14ac:dyDescent="0.3">
      <c r="A11">
        <v>20250101001</v>
      </c>
      <c r="B11" t="s">
        <v>485</v>
      </c>
      <c r="C11" t="s">
        <v>718</v>
      </c>
      <c r="D11">
        <v>2121</v>
      </c>
      <c r="E11" t="str">
        <f>IF(D11="","",IFERROR(VLOOKUP(TEXT(D11,"0"),科目表!$A:$B,2,FALSE),""))</f>
        <v>應付帳款</v>
      </c>
      <c r="F11" s="5"/>
      <c r="G11" s="5">
        <v>796077</v>
      </c>
    </row>
    <row r="12" spans="1:7" x14ac:dyDescent="0.3">
      <c r="A12">
        <v>20250101001</v>
      </c>
      <c r="B12" t="s">
        <v>485</v>
      </c>
      <c r="C12" t="s">
        <v>718</v>
      </c>
      <c r="D12">
        <v>1192</v>
      </c>
      <c r="E12" t="str">
        <f>IF(D12="","",IFERROR(VLOOKUP(TEXT(D12,"0"),科目表!$A:$B,2,FALSE),""))</f>
        <v>股東往來</v>
      </c>
      <c r="F12" s="5">
        <v>1</v>
      </c>
      <c r="G12" s="5">
        <v>1</v>
      </c>
    </row>
    <row r="13" spans="1:7" x14ac:dyDescent="0.3">
      <c r="A13">
        <v>20250101001</v>
      </c>
      <c r="B13" t="s">
        <v>485</v>
      </c>
      <c r="C13" t="s">
        <v>718</v>
      </c>
      <c r="D13">
        <v>2134</v>
      </c>
      <c r="E13" t="str">
        <f>IF(D13="","",IFERROR(VLOOKUP(TEXT(D13,"0"),科目表!$A:$B,2,FALSE),""))</f>
        <v>銷項稅額</v>
      </c>
      <c r="F13" s="5"/>
      <c r="G13" s="5">
        <v>12952</v>
      </c>
    </row>
    <row r="14" spans="1:7" x14ac:dyDescent="0.3">
      <c r="A14">
        <v>20250101001</v>
      </c>
      <c r="B14" t="s">
        <v>485</v>
      </c>
      <c r="C14" t="s">
        <v>718</v>
      </c>
      <c r="D14">
        <v>3430</v>
      </c>
      <c r="E14" t="str">
        <f>IF(D14="","",IFERROR(VLOOKUP(TEXT(D14,"0"),科目表!$A:$B,2,FALSE),""))</f>
        <v>累積盈虧</v>
      </c>
      <c r="F14" s="5">
        <v>1</v>
      </c>
      <c r="G14" s="5">
        <v>1</v>
      </c>
    </row>
    <row r="15" spans="1:7" x14ac:dyDescent="0.3">
      <c r="A15">
        <v>20250101001</v>
      </c>
      <c r="B15" t="s">
        <v>485</v>
      </c>
      <c r="C15" t="s">
        <v>718</v>
      </c>
      <c r="D15">
        <v>1192</v>
      </c>
      <c r="E15" t="str">
        <f>IF(D15="","",IFERROR(VLOOKUP(TEXT(D15,"0"),科目表!$A:$B,2,FALSE),""))</f>
        <v>股東往來</v>
      </c>
      <c r="F15" s="5">
        <v>1</v>
      </c>
      <c r="G15" s="5">
        <v>1</v>
      </c>
    </row>
    <row r="16" spans="1:7" x14ac:dyDescent="0.3">
      <c r="A16">
        <v>20250101001</v>
      </c>
      <c r="B16" t="s">
        <v>485</v>
      </c>
      <c r="C16" t="s">
        <v>718</v>
      </c>
      <c r="D16">
        <v>3110</v>
      </c>
      <c r="E16" t="str">
        <f>IF(D16="","",IFERROR(VLOOKUP(TEXT(D16,"0"),科目表!$A:$B,2,FALSE),""))</f>
        <v>實收資本</v>
      </c>
      <c r="F16" s="5">
        <v>-1000000</v>
      </c>
      <c r="G16" s="5"/>
    </row>
    <row r="17" spans="1:7" x14ac:dyDescent="0.3">
      <c r="A17">
        <v>20250101001</v>
      </c>
      <c r="B17" t="s">
        <v>485</v>
      </c>
      <c r="C17" t="s">
        <v>718</v>
      </c>
      <c r="D17">
        <v>3430</v>
      </c>
      <c r="E17" t="str">
        <f>IF(D17="","",IFERROR(VLOOKUP(TEXT(D17,"0"),科目表!$A:$B,2,FALSE),""))</f>
        <v>累積盈虧</v>
      </c>
      <c r="F17" s="5">
        <v>1</v>
      </c>
      <c r="G17" s="5">
        <v>1</v>
      </c>
    </row>
    <row r="18" spans="1:7" x14ac:dyDescent="0.3">
      <c r="A18">
        <v>20250101001</v>
      </c>
      <c r="B18" t="s">
        <v>485</v>
      </c>
      <c r="C18" t="s">
        <v>718</v>
      </c>
      <c r="D18">
        <v>3430</v>
      </c>
      <c r="E18" t="str">
        <f>IF(D18="","",IFERROR(VLOOKUP(TEXT(D18,"0"),科目表!$A:$B,2,FALSE),""))</f>
        <v>累積盈虧</v>
      </c>
      <c r="F18" s="5">
        <v>1</v>
      </c>
      <c r="G18" s="5">
        <v>1</v>
      </c>
    </row>
    <row r="19" spans="1:7" x14ac:dyDescent="0.3">
      <c r="A19">
        <v>20250101001</v>
      </c>
      <c r="B19" t="s">
        <v>485</v>
      </c>
      <c r="C19" t="s">
        <v>718</v>
      </c>
      <c r="D19">
        <v>3430</v>
      </c>
      <c r="E19" t="str">
        <f>IF(D19="","",IFERROR(VLOOKUP(TEXT(D19,"0"),科目表!$A:$B,2,FALSE),""))</f>
        <v>累積盈虧</v>
      </c>
      <c r="F19" s="5"/>
      <c r="G19" s="5">
        <v>-1929131</v>
      </c>
    </row>
    <row r="20" spans="1:7" x14ac:dyDescent="0.3">
      <c r="E20" t="str">
        <f>IF(D20="","",IFERROR(VLOOKUP(TEXT(D20,"0"),科目表!$A:$B,2,FALSE),""))</f>
        <v/>
      </c>
      <c r="F20" s="5"/>
      <c r="G20" s="5"/>
    </row>
    <row r="21" spans="1:7" x14ac:dyDescent="0.3">
      <c r="E21" t="str">
        <f>IF(D21="","",IFERROR(VLOOKUP(TEXT(D21,"0"),科目表!$A:$B,2,FALSE),""))</f>
        <v/>
      </c>
      <c r="F21" s="5"/>
      <c r="G21" s="5"/>
    </row>
    <row r="22" spans="1:7" x14ac:dyDescent="0.3">
      <c r="C22" t="s">
        <v>721</v>
      </c>
      <c r="D22">
        <v>1144</v>
      </c>
      <c r="E22" t="str">
        <f>IF(D22="","",IFERROR(VLOOKUP(TEXT(D22,"0"),科目表!$A:$B,2,FALSE),""))</f>
        <v>進項稅額</v>
      </c>
      <c r="F22" s="5"/>
      <c r="G22" s="5">
        <v>11794</v>
      </c>
    </row>
    <row r="23" spans="1:7" x14ac:dyDescent="0.3">
      <c r="C23" t="s">
        <v>721</v>
      </c>
      <c r="D23">
        <v>2134</v>
      </c>
      <c r="E23" t="str">
        <f>IF(D23="","",IFERROR(VLOOKUP(TEXT(D23,"0"),科目表!$A:$B,2,FALSE),""))</f>
        <v>銷項稅額</v>
      </c>
      <c r="F23" s="5">
        <v>12952</v>
      </c>
      <c r="G23" s="5"/>
    </row>
    <row r="24" spans="1:7" x14ac:dyDescent="0.3">
      <c r="C24" t="s">
        <v>721</v>
      </c>
      <c r="D24">
        <v>2121</v>
      </c>
      <c r="E24" t="str">
        <f>IF(D24="","",IFERROR(VLOOKUP(TEXT(D24,"0"),科目表!$A:$B,2,FALSE),""))</f>
        <v>應付帳款</v>
      </c>
      <c r="F24" s="5"/>
      <c r="G24" s="5">
        <v>1158</v>
      </c>
    </row>
    <row r="25" spans="1:7" x14ac:dyDescent="0.3">
      <c r="C25" t="s">
        <v>722</v>
      </c>
      <c r="D25">
        <v>4100</v>
      </c>
      <c r="E25" t="str">
        <f>IF(D25="","",IFERROR(VLOOKUP(TEXT(D25,"0"),科目表!$A:$B,2,FALSE),""))</f>
        <v>銷貨收入</v>
      </c>
      <c r="F25" s="5"/>
      <c r="G25" s="5">
        <v>164159</v>
      </c>
    </row>
    <row r="26" spans="1:7" x14ac:dyDescent="0.3">
      <c r="C26" t="s">
        <v>722</v>
      </c>
      <c r="D26">
        <v>2134</v>
      </c>
      <c r="E26" t="str">
        <f>IF(D26="","",IFERROR(VLOOKUP(TEXT(D26,"0"),科目表!$A:$B,2,FALSE),""))</f>
        <v>銷項稅額</v>
      </c>
      <c r="F26" s="5"/>
      <c r="G26" s="5">
        <v>8209</v>
      </c>
    </row>
    <row r="27" spans="1:7" x14ac:dyDescent="0.3">
      <c r="C27" t="s">
        <v>722</v>
      </c>
      <c r="D27">
        <v>1123</v>
      </c>
      <c r="E27" t="str">
        <f>IF(D27="","",IFERROR(VLOOKUP(TEXT(D27,"0"),科目表!$A:$B,2,FALSE),""))</f>
        <v>應收帳款</v>
      </c>
      <c r="F27" s="5">
        <v>1</v>
      </c>
      <c r="G27" s="5">
        <v>1</v>
      </c>
    </row>
    <row r="28" spans="1:7" x14ac:dyDescent="0.3">
      <c r="C28" t="s">
        <v>722</v>
      </c>
      <c r="D28">
        <v>1123</v>
      </c>
      <c r="E28" t="str">
        <f>IF(D28="","",IFERROR(VLOOKUP(TEXT(D28,"0"),科目表!$A:$B,2,FALSE),""))</f>
        <v>應收帳款</v>
      </c>
      <c r="F28" s="5">
        <v>172368</v>
      </c>
      <c r="G28" s="5"/>
    </row>
    <row r="29" spans="1:7" x14ac:dyDescent="0.3">
      <c r="C29" t="s">
        <v>722</v>
      </c>
      <c r="D29">
        <v>5100</v>
      </c>
      <c r="E29" t="str">
        <f>IF(D29="","",IFERROR(VLOOKUP(TEXT(D29,"0"),科目表!$A:$B,2,FALSE),""))</f>
        <v>銷貨成本</v>
      </c>
      <c r="F29" s="5">
        <v>116244</v>
      </c>
      <c r="G29" s="5"/>
    </row>
    <row r="30" spans="1:7" x14ac:dyDescent="0.3">
      <c r="C30" t="s">
        <v>722</v>
      </c>
      <c r="D30">
        <v>1144</v>
      </c>
      <c r="E30" t="str">
        <f>IF(D30="","",IFERROR(VLOOKUP(TEXT(D30,"0"),科目表!$A:$B,2,FALSE),""))</f>
        <v>進項稅額</v>
      </c>
      <c r="F30" s="5">
        <v>5809</v>
      </c>
      <c r="G30" s="5"/>
    </row>
    <row r="31" spans="1:7" x14ac:dyDescent="0.3">
      <c r="C31" t="s">
        <v>722</v>
      </c>
      <c r="D31">
        <v>2121</v>
      </c>
      <c r="E31" t="str">
        <f>IF(D31="","",IFERROR(VLOOKUP(TEXT(D31,"0"),科目表!$A:$B,2,FALSE),""))</f>
        <v>應付帳款</v>
      </c>
      <c r="F31" s="5"/>
      <c r="G31" s="5">
        <v>122053</v>
      </c>
    </row>
    <row r="32" spans="1:7" x14ac:dyDescent="0.3">
      <c r="C32" t="s">
        <v>722</v>
      </c>
      <c r="D32">
        <v>1144</v>
      </c>
      <c r="E32" t="str">
        <f>IF(D32="","",IFERROR(VLOOKUP(TEXT(D32,"0"),科目表!$A:$B,2,FALSE),""))</f>
        <v>進項稅額</v>
      </c>
      <c r="F32" s="5"/>
      <c r="G32" s="5">
        <v>5809</v>
      </c>
    </row>
    <row r="33" spans="3:7" x14ac:dyDescent="0.3">
      <c r="C33" t="s">
        <v>722</v>
      </c>
      <c r="D33">
        <v>2134</v>
      </c>
      <c r="E33" t="str">
        <f>IF(D33="","",IFERROR(VLOOKUP(TEXT(D33,"0"),科目表!$A:$B,2,FALSE),""))</f>
        <v>銷項稅額</v>
      </c>
      <c r="F33" s="5">
        <v>8209</v>
      </c>
      <c r="G33" s="5"/>
    </row>
    <row r="34" spans="3:7" x14ac:dyDescent="0.3">
      <c r="C34" t="s">
        <v>723</v>
      </c>
      <c r="D34">
        <v>2121</v>
      </c>
      <c r="E34" t="str">
        <f>IF(D34="","",IFERROR(VLOOKUP(TEXT(D34,"0"),科目表!$A:$B,2,FALSE),""))</f>
        <v>應付帳款</v>
      </c>
      <c r="F34" s="5"/>
      <c r="G34" s="5">
        <v>2400</v>
      </c>
    </row>
    <row r="35" spans="3:7" x14ac:dyDescent="0.3">
      <c r="C35" t="s">
        <v>724</v>
      </c>
      <c r="D35">
        <v>4100</v>
      </c>
      <c r="E35" t="str">
        <f>IF(D35="","",IFERROR(VLOOKUP(TEXT(D35,"0"),科目表!$A:$B,2,FALSE),""))</f>
        <v>銷貨收入</v>
      </c>
      <c r="F35" s="5">
        <v>217547</v>
      </c>
      <c r="G35" s="5">
        <v>217547</v>
      </c>
    </row>
    <row r="36" spans="3:7" x14ac:dyDescent="0.3">
      <c r="C36" t="s">
        <v>724</v>
      </c>
      <c r="D36">
        <v>2134</v>
      </c>
      <c r="E36" t="str">
        <f>IF(D36="","",IFERROR(VLOOKUP(TEXT(D36,"0"),科目表!$A:$B,2,FALSE),""))</f>
        <v>銷項稅額</v>
      </c>
      <c r="F36" s="5">
        <v>10880</v>
      </c>
      <c r="G36" s="5">
        <v>10880</v>
      </c>
    </row>
    <row r="37" spans="3:7" x14ac:dyDescent="0.3">
      <c r="C37" t="s">
        <v>724</v>
      </c>
      <c r="D37">
        <v>1123</v>
      </c>
      <c r="E37" t="str">
        <f>IF(D37="","",IFERROR(VLOOKUP(TEXT(D37,"0"),科目表!$A:$B,2,FALSE),""))</f>
        <v>應收帳款</v>
      </c>
      <c r="F37" s="5">
        <v>228427</v>
      </c>
      <c r="G37" s="5">
        <v>228427</v>
      </c>
    </row>
    <row r="38" spans="3:7" x14ac:dyDescent="0.3">
      <c r="C38" t="s">
        <v>724</v>
      </c>
      <c r="D38">
        <v>1123</v>
      </c>
      <c r="E38" t="str">
        <f>IF(D38="","",IFERROR(VLOOKUP(TEXT(D38,"0"),科目表!$A:$B,2,FALSE),""))</f>
        <v>應收帳款</v>
      </c>
      <c r="F38" s="5"/>
      <c r="G38" s="5"/>
    </row>
    <row r="39" spans="3:7" x14ac:dyDescent="0.3">
      <c r="C39" t="s">
        <v>724</v>
      </c>
      <c r="D39">
        <v>5100</v>
      </c>
      <c r="E39" t="str">
        <f>IF(D39="","",IFERROR(VLOOKUP(TEXT(D39,"0"),科目表!$A:$B,2,FALSE),""))</f>
        <v>銷貨成本</v>
      </c>
      <c r="F39" s="5">
        <v>122255</v>
      </c>
      <c r="G39" s="5"/>
    </row>
    <row r="40" spans="3:7" x14ac:dyDescent="0.3">
      <c r="C40" t="s">
        <v>724</v>
      </c>
      <c r="D40">
        <v>1144</v>
      </c>
      <c r="E40" t="str">
        <f>IF(D40="","",IFERROR(VLOOKUP(TEXT(D40,"0"),科目表!$A:$B,2,FALSE),""))</f>
        <v>進項稅額</v>
      </c>
      <c r="F40" s="5">
        <v>6113</v>
      </c>
      <c r="G40" s="5"/>
    </row>
    <row r="41" spans="3:7" x14ac:dyDescent="0.3">
      <c r="C41" t="s">
        <v>724</v>
      </c>
      <c r="D41">
        <v>2121</v>
      </c>
      <c r="E41" t="str">
        <f>IF(D41="","",IFERROR(VLOOKUP(TEXT(D41,"0"),科目表!$A:$B,2,FALSE),""))</f>
        <v>應付帳款</v>
      </c>
      <c r="F41" s="5"/>
      <c r="G41" s="5">
        <v>128368</v>
      </c>
    </row>
    <row r="42" spans="3:7" x14ac:dyDescent="0.3">
      <c r="C42" t="s">
        <v>724</v>
      </c>
      <c r="D42">
        <v>1144</v>
      </c>
      <c r="E42" t="str">
        <f>IF(D42="","",IFERROR(VLOOKUP(TEXT(D42,"0"),科目表!$A:$B,2,FALSE),""))</f>
        <v>進項稅額</v>
      </c>
      <c r="F42" s="5"/>
      <c r="G42" s="5">
        <v>6113</v>
      </c>
    </row>
    <row r="43" spans="3:7" x14ac:dyDescent="0.3">
      <c r="C43" t="s">
        <v>724</v>
      </c>
      <c r="D43">
        <v>2134</v>
      </c>
      <c r="E43" t="str">
        <f>IF(D43="","",IFERROR(VLOOKUP(TEXT(D43,"0"),科目表!$A:$B,2,FALSE),""))</f>
        <v>銷項稅額</v>
      </c>
      <c r="F43" s="5">
        <v>10880</v>
      </c>
      <c r="G43" s="5"/>
    </row>
    <row r="44" spans="3:7" x14ac:dyDescent="0.3">
      <c r="C44" t="s">
        <v>724</v>
      </c>
      <c r="D44">
        <v>2121</v>
      </c>
      <c r="E44" t="str">
        <f>IF(D44="","",IFERROR(VLOOKUP(TEXT(D44,"0"),科目表!$A:$B,2,FALSE),""))</f>
        <v>應付帳款</v>
      </c>
      <c r="F44" s="5"/>
      <c r="G44" s="5">
        <v>4767</v>
      </c>
    </row>
    <row r="45" spans="3:7" x14ac:dyDescent="0.3">
      <c r="C45" t="s">
        <v>724</v>
      </c>
      <c r="D45">
        <v>4100</v>
      </c>
      <c r="E45" t="str">
        <f>IF(D45="","",IFERROR(VLOOKUP(TEXT(D45,"0"),科目表!$A:$B,2,FALSE),""))</f>
        <v>銷貨收入</v>
      </c>
      <c r="F45" s="5"/>
      <c r="G45" s="5">
        <v>217547</v>
      </c>
    </row>
    <row r="46" spans="3:7" x14ac:dyDescent="0.3">
      <c r="C46" t="s">
        <v>724</v>
      </c>
      <c r="D46">
        <v>2134</v>
      </c>
      <c r="E46" t="str">
        <f>IF(D46="","",IFERROR(VLOOKUP(TEXT(D46,"0"),科目表!$A:$B,2,FALSE),""))</f>
        <v>銷項稅額</v>
      </c>
      <c r="F46" s="5"/>
      <c r="G46" s="5">
        <v>10880</v>
      </c>
    </row>
    <row r="47" spans="3:7" x14ac:dyDescent="0.3">
      <c r="C47" t="s">
        <v>724</v>
      </c>
      <c r="D47">
        <v>1123</v>
      </c>
      <c r="E47" t="str">
        <f>IF(D47="","",IFERROR(VLOOKUP(TEXT(D47,"0"),科目表!$A:$B,2,FALSE),""))</f>
        <v>應收帳款</v>
      </c>
      <c r="F47" s="5">
        <v>228427</v>
      </c>
      <c r="G47" s="5"/>
    </row>
    <row r="48" spans="3:7" x14ac:dyDescent="0.3">
      <c r="C48" t="s">
        <v>725</v>
      </c>
      <c r="D48">
        <v>4100</v>
      </c>
      <c r="E48" t="str">
        <f>IF(D48="","",IFERROR(VLOOKUP(TEXT(D48,"0"),科目表!$A:$B,2,FALSE),""))</f>
        <v>銷貨收入</v>
      </c>
      <c r="F48" s="5"/>
      <c r="G48" s="5">
        <v>327831</v>
      </c>
    </row>
    <row r="49" spans="3:7" x14ac:dyDescent="0.3">
      <c r="C49" t="s">
        <v>725</v>
      </c>
      <c r="D49">
        <v>2134</v>
      </c>
      <c r="E49" t="str">
        <f>IF(D49="","",IFERROR(VLOOKUP(TEXT(D49,"0"),科目表!$A:$B,2,FALSE),""))</f>
        <v>銷項稅額</v>
      </c>
      <c r="F49" s="5"/>
      <c r="G49" s="5">
        <v>16390</v>
      </c>
    </row>
    <row r="50" spans="3:7" x14ac:dyDescent="0.3">
      <c r="C50" t="s">
        <v>725</v>
      </c>
      <c r="D50">
        <v>1123</v>
      </c>
      <c r="E50" t="str">
        <f>IF(D50="","",IFERROR(VLOOKUP(TEXT(D50,"0"),科目表!$A:$B,2,FALSE),""))</f>
        <v>應收帳款</v>
      </c>
      <c r="F50" s="5">
        <v>344221</v>
      </c>
      <c r="G50" s="5"/>
    </row>
    <row r="51" spans="3:7" x14ac:dyDescent="0.3">
      <c r="C51" t="s">
        <v>725</v>
      </c>
      <c r="D51">
        <v>1123</v>
      </c>
      <c r="E51" t="str">
        <f>IF(D51="","",IFERROR(VLOOKUP(TEXT(D51,"0"),科目表!$A:$B,2,FALSE),""))</f>
        <v>應收帳款</v>
      </c>
      <c r="F51" s="5"/>
      <c r="G51" s="5"/>
    </row>
    <row r="52" spans="3:7" x14ac:dyDescent="0.3">
      <c r="C52" t="s">
        <v>725</v>
      </c>
      <c r="D52">
        <v>5100</v>
      </c>
      <c r="E52" t="str">
        <f>IF(D52="","",IFERROR(VLOOKUP(TEXT(D52,"0"),科目表!$A:$B,2,FALSE),""))</f>
        <v>銷貨成本</v>
      </c>
      <c r="F52" s="5">
        <v>159296</v>
      </c>
      <c r="G52" s="5"/>
    </row>
    <row r="53" spans="3:7" x14ac:dyDescent="0.3">
      <c r="C53" t="s">
        <v>725</v>
      </c>
      <c r="D53">
        <v>1144</v>
      </c>
      <c r="E53" t="str">
        <f>IF(D53="","",IFERROR(VLOOKUP(TEXT(D53,"0"),科目表!$A:$B,2,FALSE),""))</f>
        <v>進項稅額</v>
      </c>
      <c r="F53" s="5">
        <v>7962</v>
      </c>
      <c r="G53" s="5"/>
    </row>
    <row r="54" spans="3:7" x14ac:dyDescent="0.3">
      <c r="C54" t="s">
        <v>725</v>
      </c>
      <c r="D54">
        <v>2121</v>
      </c>
      <c r="E54" t="str">
        <f>IF(D54="","",IFERROR(VLOOKUP(TEXT(D54,"0"),科目表!$A:$B,2,FALSE),""))</f>
        <v>應付帳款</v>
      </c>
      <c r="F54" s="5"/>
      <c r="G54" s="5">
        <v>167258</v>
      </c>
    </row>
    <row r="55" spans="3:7" x14ac:dyDescent="0.3">
      <c r="C55" t="s">
        <v>725</v>
      </c>
      <c r="D55">
        <v>1144</v>
      </c>
      <c r="E55" t="str">
        <f>IF(D55="","",IFERROR(VLOOKUP(TEXT(D55,"0"),科目表!$A:$B,2,FALSE),""))</f>
        <v>進項稅額</v>
      </c>
      <c r="F55" s="5"/>
      <c r="G55" s="5">
        <v>7962</v>
      </c>
    </row>
    <row r="56" spans="3:7" x14ac:dyDescent="0.3">
      <c r="C56" t="s">
        <v>725</v>
      </c>
      <c r="D56">
        <v>2134</v>
      </c>
      <c r="E56" t="str">
        <f>IF(D56="","",IFERROR(VLOOKUP(TEXT(D56,"0"),科目表!$A:$B,2,FALSE),""))</f>
        <v>銷項稅額</v>
      </c>
      <c r="F56" s="5">
        <v>16390</v>
      </c>
      <c r="G56" s="5"/>
    </row>
    <row r="57" spans="3:7" x14ac:dyDescent="0.3">
      <c r="C57" t="s">
        <v>725</v>
      </c>
      <c r="D57">
        <v>2121</v>
      </c>
      <c r="E57" t="str">
        <f>IF(D57="","",IFERROR(VLOOKUP(TEXT(D57,"0"),科目表!$A:$B,2,FALSE),""))</f>
        <v>應付帳款</v>
      </c>
      <c r="F57" s="5"/>
      <c r="G57" s="5">
        <v>8428</v>
      </c>
    </row>
    <row r="58" spans="3:7" x14ac:dyDescent="0.3">
      <c r="C58" t="s">
        <v>726</v>
      </c>
      <c r="D58">
        <v>4100</v>
      </c>
      <c r="E58" t="str">
        <f>IF(D58="","",IFERROR(VLOOKUP(TEXT(D58,"0"),科目表!$A:$B,2,FALSE),""))</f>
        <v>銷貨收入</v>
      </c>
      <c r="F58" s="5"/>
      <c r="G58" s="5">
        <v>668783</v>
      </c>
    </row>
    <row r="59" spans="3:7" x14ac:dyDescent="0.3">
      <c r="C59" t="s">
        <v>726</v>
      </c>
      <c r="D59">
        <v>2134</v>
      </c>
      <c r="E59" t="str">
        <f>IF(D59="","",IFERROR(VLOOKUP(TEXT(D59,"0"),科目表!$A:$B,2,FALSE),""))</f>
        <v>銷項稅額</v>
      </c>
      <c r="F59" s="5"/>
      <c r="G59" s="5">
        <v>33439</v>
      </c>
    </row>
    <row r="60" spans="3:7" x14ac:dyDescent="0.3">
      <c r="C60" t="s">
        <v>726</v>
      </c>
      <c r="D60">
        <v>1123</v>
      </c>
      <c r="E60" t="str">
        <f>IF(D60="","",IFERROR(VLOOKUP(TEXT(D60,"0"),科目表!$A:$B,2,FALSE),""))</f>
        <v>應收帳款</v>
      </c>
      <c r="F60" s="5">
        <v>702222</v>
      </c>
      <c r="G60" s="5"/>
    </row>
    <row r="61" spans="3:7" x14ac:dyDescent="0.3">
      <c r="C61" t="s">
        <v>726</v>
      </c>
      <c r="D61">
        <v>1123</v>
      </c>
      <c r="E61" t="str">
        <f>IF(D61="","",IFERROR(VLOOKUP(TEXT(D61,"0"),科目表!$A:$B,2,FALSE),""))</f>
        <v>應收帳款</v>
      </c>
      <c r="F61" s="5"/>
      <c r="G61" s="5"/>
    </row>
    <row r="62" spans="3:7" x14ac:dyDescent="0.3">
      <c r="C62" t="s">
        <v>726</v>
      </c>
      <c r="D62">
        <v>5100</v>
      </c>
      <c r="E62" t="str">
        <f>IF(D62="","",IFERROR(VLOOKUP(TEXT(D62,"0"),科目表!$A:$B,2,FALSE),""))</f>
        <v>銷貨成本</v>
      </c>
      <c r="F62" s="5">
        <v>262627</v>
      </c>
      <c r="G62" s="5"/>
    </row>
    <row r="63" spans="3:7" x14ac:dyDescent="0.3">
      <c r="C63" t="s">
        <v>726</v>
      </c>
      <c r="D63">
        <v>1144</v>
      </c>
      <c r="E63" t="str">
        <f>IF(D63="","",IFERROR(VLOOKUP(TEXT(D63,"0"),科目表!$A:$B,2,FALSE),""))</f>
        <v>進項稅額</v>
      </c>
      <c r="F63" s="5">
        <v>13129</v>
      </c>
      <c r="G63" s="5"/>
    </row>
    <row r="64" spans="3:7" x14ac:dyDescent="0.3">
      <c r="C64" t="s">
        <v>726</v>
      </c>
      <c r="D64">
        <v>2121</v>
      </c>
      <c r="E64" t="str">
        <f>IF(D64="","",IFERROR(VLOOKUP(TEXT(D64,"0"),科目表!$A:$B,2,FALSE),""))</f>
        <v>應付帳款</v>
      </c>
      <c r="F64" s="5"/>
      <c r="G64" s="5">
        <v>275756</v>
      </c>
    </row>
    <row r="65" spans="3:7" x14ac:dyDescent="0.3">
      <c r="C65" t="s">
        <v>726</v>
      </c>
      <c r="D65">
        <v>1144</v>
      </c>
      <c r="E65" t="str">
        <f>IF(D65="","",IFERROR(VLOOKUP(TEXT(D65,"0"),科目表!$A:$B,2,FALSE),""))</f>
        <v>進項稅額</v>
      </c>
      <c r="F65" s="5"/>
      <c r="G65" s="5">
        <v>13129</v>
      </c>
    </row>
    <row r="66" spans="3:7" x14ac:dyDescent="0.3">
      <c r="C66" t="s">
        <v>726</v>
      </c>
      <c r="D66">
        <v>2134</v>
      </c>
      <c r="E66" t="str">
        <f>IF(D66="","",IFERROR(VLOOKUP(TEXT(D66,"0"),科目表!$A:$B,2,FALSE),""))</f>
        <v>銷項稅額</v>
      </c>
      <c r="F66" s="5">
        <v>33439</v>
      </c>
      <c r="G66" s="5"/>
    </row>
    <row r="67" spans="3:7" x14ac:dyDescent="0.3">
      <c r="C67" t="s">
        <v>726</v>
      </c>
      <c r="D67">
        <v>2121</v>
      </c>
      <c r="E67" t="str">
        <f>IF(D67="","",IFERROR(VLOOKUP(TEXT(D67,"0"),科目表!$A:$B,2,FALSE),""))</f>
        <v>應付帳款</v>
      </c>
      <c r="F67" s="5"/>
      <c r="G67" s="5">
        <v>20310</v>
      </c>
    </row>
    <row r="68" spans="3:7" x14ac:dyDescent="0.3">
      <c r="C68" t="s">
        <v>727</v>
      </c>
      <c r="D68">
        <v>4100</v>
      </c>
      <c r="E68" t="str">
        <f>IF(D68="","",IFERROR(VLOOKUP(TEXT(D68,"0"),科目表!$A:$B,2,FALSE),""))</f>
        <v>銷貨收入</v>
      </c>
      <c r="F68" s="5"/>
      <c r="G68" s="5">
        <v>610107</v>
      </c>
    </row>
    <row r="69" spans="3:7" x14ac:dyDescent="0.3">
      <c r="C69" t="s">
        <v>727</v>
      </c>
      <c r="D69">
        <v>2134</v>
      </c>
      <c r="E69" t="str">
        <f>IF(D69="","",IFERROR(VLOOKUP(TEXT(D69,"0"),科目表!$A:$B,2,FALSE),""))</f>
        <v>銷項稅額</v>
      </c>
      <c r="F69" s="5"/>
      <c r="G69" s="5">
        <v>30509</v>
      </c>
    </row>
    <row r="70" spans="3:7" x14ac:dyDescent="0.3">
      <c r="C70" t="s">
        <v>727</v>
      </c>
      <c r="D70">
        <v>1123</v>
      </c>
      <c r="E70" t="str">
        <f>IF(D70="","",IFERROR(VLOOKUP(TEXT(D70,"0"),科目表!$A:$B,2,FALSE),""))</f>
        <v>應收帳款</v>
      </c>
      <c r="F70" s="5">
        <v>640616</v>
      </c>
      <c r="G70" s="5"/>
    </row>
    <row r="71" spans="3:7" x14ac:dyDescent="0.3">
      <c r="C71" t="s">
        <v>727</v>
      </c>
      <c r="D71">
        <v>1461</v>
      </c>
      <c r="E71" t="str">
        <f>IF(D71="","",IFERROR(VLOOKUP(TEXT(D71,"0"),科目表!$A:$B,2,FALSE),""))</f>
        <v>生財器具</v>
      </c>
      <c r="F71" s="5">
        <v>44800</v>
      </c>
      <c r="G71" s="5"/>
    </row>
    <row r="72" spans="3:7" x14ac:dyDescent="0.3">
      <c r="C72" t="s">
        <v>727</v>
      </c>
      <c r="D72">
        <v>5100</v>
      </c>
      <c r="E72" t="str">
        <f>IF(D72="","",IFERROR(VLOOKUP(TEXT(D72,"0"),科目表!$A:$B,2,FALSE),""))</f>
        <v>銷貨成本</v>
      </c>
      <c r="F72" s="5">
        <v>267928</v>
      </c>
      <c r="G72" s="5"/>
    </row>
    <row r="73" spans="3:7" x14ac:dyDescent="0.3">
      <c r="C73" t="s">
        <v>727</v>
      </c>
      <c r="D73">
        <v>1144</v>
      </c>
      <c r="E73" t="str">
        <f>IF(D73="","",IFERROR(VLOOKUP(TEXT(D73,"0"),科目表!$A:$B,2,FALSE),""))</f>
        <v>進項稅額</v>
      </c>
      <c r="F73" s="5">
        <v>15628</v>
      </c>
      <c r="G73" s="5"/>
    </row>
    <row r="74" spans="3:7" x14ac:dyDescent="0.3">
      <c r="C74" t="s">
        <v>727</v>
      </c>
      <c r="D74">
        <v>2121</v>
      </c>
      <c r="E74" t="str">
        <f>IF(D74="","",IFERROR(VLOOKUP(TEXT(D74,"0"),科目表!$A:$B,2,FALSE),""))</f>
        <v>應付帳款</v>
      </c>
      <c r="F74" s="5"/>
      <c r="G74" s="5">
        <v>328356</v>
      </c>
    </row>
    <row r="75" spans="3:7" x14ac:dyDescent="0.3">
      <c r="C75" t="s">
        <v>727</v>
      </c>
      <c r="D75">
        <v>1144</v>
      </c>
      <c r="E75" t="str">
        <f>IF(D75="","",IFERROR(VLOOKUP(TEXT(D75,"0"),科目表!$A:$B,2,FALSE),""))</f>
        <v>進項稅額</v>
      </c>
      <c r="F75" s="5"/>
      <c r="G75" s="5">
        <v>15628</v>
      </c>
    </row>
    <row r="76" spans="3:7" x14ac:dyDescent="0.3">
      <c r="C76" t="s">
        <v>727</v>
      </c>
      <c r="D76">
        <v>2134</v>
      </c>
      <c r="E76" t="str">
        <f>IF(D76="","",IFERROR(VLOOKUP(TEXT(D76,"0"),科目表!$A:$B,2,FALSE),""))</f>
        <v>銷項稅額</v>
      </c>
      <c r="F76" s="5">
        <v>30509</v>
      </c>
      <c r="G76" s="5"/>
    </row>
    <row r="77" spans="3:7" x14ac:dyDescent="0.3">
      <c r="C77" t="s">
        <v>727</v>
      </c>
      <c r="D77">
        <v>2121</v>
      </c>
      <c r="E77" t="str">
        <f>IF(D77="","",IFERROR(VLOOKUP(TEXT(D77,"0"),科目表!$A:$B,2,FALSE),""))</f>
        <v>應付帳款</v>
      </c>
      <c r="F77" s="5"/>
      <c r="G77" s="5">
        <v>14881</v>
      </c>
    </row>
    <row r="78" spans="3:7" x14ac:dyDescent="0.3">
      <c r="C78" t="s">
        <v>728</v>
      </c>
      <c r="D78">
        <v>4100</v>
      </c>
      <c r="E78" t="str">
        <f>IF(D78="","",IFERROR(VLOOKUP(TEXT(D78,"0"),科目表!$A:$B,2,FALSE),""))</f>
        <v>銷貨收入</v>
      </c>
      <c r="F78" s="5"/>
      <c r="G78" s="5">
        <v>501366</v>
      </c>
    </row>
    <row r="79" spans="3:7" x14ac:dyDescent="0.3">
      <c r="C79" t="s">
        <v>728</v>
      </c>
      <c r="D79">
        <v>2134</v>
      </c>
      <c r="E79" t="str">
        <f>IF(D79="","",IFERROR(VLOOKUP(TEXT(D79,"0"),科目表!$A:$B,2,FALSE),""))</f>
        <v>銷項稅額</v>
      </c>
      <c r="F79" s="5"/>
      <c r="G79" s="5">
        <v>25069</v>
      </c>
    </row>
    <row r="80" spans="3:7" x14ac:dyDescent="0.3">
      <c r="C80" t="s">
        <v>728</v>
      </c>
      <c r="D80">
        <v>1123</v>
      </c>
      <c r="E80" t="str">
        <f>IF(D80="","",IFERROR(VLOOKUP(TEXT(D80,"0"),科目表!$A:$B,2,FALSE),""))</f>
        <v>應收帳款</v>
      </c>
      <c r="F80" s="5">
        <v>526435</v>
      </c>
      <c r="G80" s="5"/>
    </row>
    <row r="81" spans="3:7" x14ac:dyDescent="0.3">
      <c r="C81" t="s">
        <v>728</v>
      </c>
      <c r="D81">
        <v>1461</v>
      </c>
      <c r="E81" t="str">
        <f>IF(D81="","",IFERROR(VLOOKUP(TEXT(D81,"0"),科目表!$A:$B,2,FALSE),""))</f>
        <v>生財器具</v>
      </c>
      <c r="F81" s="5"/>
      <c r="G81" s="5"/>
    </row>
    <row r="82" spans="3:7" x14ac:dyDescent="0.3">
      <c r="C82" t="s">
        <v>728</v>
      </c>
      <c r="D82">
        <v>5100</v>
      </c>
      <c r="E82" t="str">
        <f>IF(D82="","",IFERROR(VLOOKUP(TEXT(D82,"0"),科目表!$A:$B,2,FALSE),""))</f>
        <v>銷貨成本</v>
      </c>
      <c r="F82" s="5">
        <v>330270</v>
      </c>
      <c r="G82" s="5"/>
    </row>
    <row r="83" spans="3:7" x14ac:dyDescent="0.3">
      <c r="C83" t="s">
        <v>728</v>
      </c>
      <c r="D83">
        <v>1144</v>
      </c>
      <c r="E83" t="str">
        <f>IF(D83="","",IFERROR(VLOOKUP(TEXT(D83,"0"),科目表!$A:$B,2,FALSE),""))</f>
        <v>進項稅額</v>
      </c>
      <c r="F83" s="5">
        <v>16513</v>
      </c>
      <c r="G83" s="5"/>
    </row>
    <row r="84" spans="3:7" x14ac:dyDescent="0.3">
      <c r="C84" t="s">
        <v>728</v>
      </c>
      <c r="D84">
        <v>2121</v>
      </c>
      <c r="E84" t="str">
        <f>IF(D84="","",IFERROR(VLOOKUP(TEXT(D84,"0"),科目表!$A:$B,2,FALSE),""))</f>
        <v>應付帳款</v>
      </c>
      <c r="F84" s="5"/>
      <c r="G84" s="5">
        <v>346783</v>
      </c>
    </row>
    <row r="85" spans="3:7" x14ac:dyDescent="0.3">
      <c r="C85" t="s">
        <v>729</v>
      </c>
      <c r="D85">
        <v>6010</v>
      </c>
      <c r="E85" t="str">
        <f>IF(D85="","",IFERROR(VLOOKUP(TEXT(D85,"0"),科目表!$A:$B,2,FALSE),""))</f>
        <v>薪資支出</v>
      </c>
      <c r="F85" s="5">
        <v>528000</v>
      </c>
      <c r="G85" s="5"/>
    </row>
    <row r="86" spans="3:7" x14ac:dyDescent="0.3">
      <c r="C86" t="s">
        <v>729</v>
      </c>
      <c r="D86">
        <v>6010</v>
      </c>
      <c r="E86" t="str">
        <f>IF(D86="","",IFERROR(VLOOKUP(TEXT(D86,"0"),科目表!$A:$B,2,FALSE),""))</f>
        <v>薪資支出</v>
      </c>
      <c r="F86" s="5">
        <v>540000</v>
      </c>
      <c r="G86" s="5"/>
    </row>
    <row r="87" spans="3:7" x14ac:dyDescent="0.3">
      <c r="C87" t="s">
        <v>730</v>
      </c>
      <c r="D87">
        <v>2121</v>
      </c>
      <c r="E87" t="str">
        <f>IF(D87="","",IFERROR(VLOOKUP(TEXT(D87,"0"),科目表!$A:$B,2,FALSE),""))</f>
        <v>應付帳款</v>
      </c>
      <c r="F87" s="5"/>
      <c r="G87" s="5">
        <v>1068000</v>
      </c>
    </row>
    <row r="88" spans="3:7" x14ac:dyDescent="0.3">
      <c r="C88" t="s">
        <v>731</v>
      </c>
      <c r="D88">
        <v>6100</v>
      </c>
      <c r="E88" t="str">
        <f>IF(D88="","",IFERROR(VLOOKUP(TEXT(D88,"0"),科目表!$A:$B,2,FALSE),""))</f>
        <v>保險費</v>
      </c>
      <c r="F88" s="5">
        <v>51360</v>
      </c>
      <c r="G88" s="5"/>
    </row>
    <row r="89" spans="3:7" x14ac:dyDescent="0.3">
      <c r="C89" t="s">
        <v>731</v>
      </c>
      <c r="D89">
        <v>2121</v>
      </c>
      <c r="E89" t="str">
        <f>IF(D89="","",IFERROR(VLOOKUP(TEXT(D89,"0"),科目表!$A:$B,2,FALSE),""))</f>
        <v>應付帳款</v>
      </c>
      <c r="F89" s="5"/>
      <c r="G89" s="5">
        <v>51360</v>
      </c>
    </row>
    <row r="90" spans="3:7" x14ac:dyDescent="0.3">
      <c r="D90">
        <v>1123</v>
      </c>
      <c r="E90" t="str">
        <f>IF(D90="","",IFERROR(VLOOKUP(TEXT(D90,"0"),科目表!$A:$B,2,FALSE),""))</f>
        <v>應收帳款</v>
      </c>
      <c r="F90" s="28"/>
      <c r="G90" s="28">
        <v>254360</v>
      </c>
    </row>
    <row r="91" spans="3:7" x14ac:dyDescent="0.3">
      <c r="D91">
        <v>2112</v>
      </c>
      <c r="E91" t="str">
        <f>IF(D91="","",IFERROR(VLOOKUP(TEXT(D91,"0"),科目表!$A:$B,2,FALSE),""))</f>
        <v>銀行借款</v>
      </c>
      <c r="F91" s="28">
        <v>254360</v>
      </c>
      <c r="G91" s="28"/>
    </row>
    <row r="92" spans="3:7" x14ac:dyDescent="0.3">
      <c r="D92">
        <v>2121</v>
      </c>
      <c r="E92" t="str">
        <f>IF(D92="","",IFERROR(VLOOKUP(TEXT(D92,"0"),科目表!$A:$B,2,FALSE),""))</f>
        <v>應付帳款</v>
      </c>
      <c r="F92" s="28">
        <v>28062</v>
      </c>
      <c r="G92" s="28"/>
    </row>
    <row r="93" spans="3:7" x14ac:dyDescent="0.3">
      <c r="D93">
        <v>11122</v>
      </c>
      <c r="E93" t="str">
        <f>IF(D93="","",IFERROR(VLOOKUP(TEXT(D93,"0"),科目表!$A:$B,2,FALSE),""))</f>
        <v>銀行存款-合庫</v>
      </c>
      <c r="F93" s="28"/>
      <c r="G93" s="28">
        <v>28062</v>
      </c>
    </row>
    <row r="94" spans="3:7" x14ac:dyDescent="0.3">
      <c r="D94">
        <v>2121</v>
      </c>
      <c r="E94" t="str">
        <f>IF(D94="","",IFERROR(VLOOKUP(TEXT(D94,"0"),科目表!$A:$B,2,FALSE),""))</f>
        <v>應付帳款</v>
      </c>
      <c r="F94" s="28">
        <v>8782</v>
      </c>
      <c r="G94" s="28"/>
    </row>
    <row r="95" spans="3:7" x14ac:dyDescent="0.3">
      <c r="D95">
        <v>11121</v>
      </c>
      <c r="E95" t="str">
        <f>IF(D95="","",IFERROR(VLOOKUP(TEXT(D95,"0"),科目表!$A:$B,2,FALSE),""))</f>
        <v>銀行存款-國泰</v>
      </c>
      <c r="F95" s="28"/>
      <c r="G95" s="28">
        <v>8782</v>
      </c>
    </row>
    <row r="96" spans="3:7" x14ac:dyDescent="0.3">
      <c r="D96">
        <v>1123</v>
      </c>
      <c r="E96" t="str">
        <f>IF(D96="","",IFERROR(VLOOKUP(TEXT(D96,"0"),科目表!$A:$B,2,FALSE),""))</f>
        <v>應收帳款</v>
      </c>
      <c r="F96" s="28"/>
      <c r="G96" s="28">
        <v>2200000</v>
      </c>
    </row>
    <row r="97" spans="4:7" x14ac:dyDescent="0.3">
      <c r="D97">
        <v>2121</v>
      </c>
      <c r="E97" t="str">
        <f>IF(D97="","",IFERROR(VLOOKUP(TEXT(D97,"0"),科目表!$A:$B,2,FALSE),""))</f>
        <v>應付帳款</v>
      </c>
      <c r="F97" s="28">
        <v>2200000</v>
      </c>
      <c r="G97" s="28"/>
    </row>
    <row r="98" spans="4:7" x14ac:dyDescent="0.3">
      <c r="D98">
        <v>5100</v>
      </c>
      <c r="E98" t="str">
        <f>IF(D98="","",IFERROR(VLOOKUP(TEXT(D98,"0"),科目表!$A:$B,2,FALSE),""))</f>
        <v>銷貨成本</v>
      </c>
      <c r="F98" s="28"/>
      <c r="G98" s="28">
        <f>25605+18950+3688+43500</f>
        <v>91743</v>
      </c>
    </row>
    <row r="99" spans="4:7" x14ac:dyDescent="0.3">
      <c r="D99">
        <v>6030</v>
      </c>
      <c r="E99" t="str">
        <f>IF(D99="","",IFERROR(VLOOKUP(TEXT(D99,"0"),科目表!$A:$B,2,FALSE),""))</f>
        <v>文具用品</v>
      </c>
      <c r="F99" s="28">
        <v>25605</v>
      </c>
      <c r="G99" s="28"/>
    </row>
    <row r="100" spans="4:7" x14ac:dyDescent="0.3">
      <c r="D100">
        <v>6320</v>
      </c>
      <c r="E100" t="str">
        <f>IF(D100="","",IFERROR(VLOOKUP(TEXT(D100,"0"),科目表!$A:$B,2,FALSE),""))</f>
        <v>交通費</v>
      </c>
      <c r="F100" s="29">
        <v>18950</v>
      </c>
      <c r="G100" s="29"/>
    </row>
    <row r="101" spans="4:7" x14ac:dyDescent="0.3">
      <c r="D101">
        <v>6290</v>
      </c>
      <c r="E101" t="str">
        <f>IF(D101="","",IFERROR(VLOOKUP(TEXT(D101,"0"),科目表!$A:$B,2,FALSE),""))</f>
        <v>手續費</v>
      </c>
      <c r="F101" s="29">
        <v>3688</v>
      </c>
      <c r="G101" s="29"/>
    </row>
    <row r="102" spans="4:7" x14ac:dyDescent="0.3">
      <c r="D102">
        <v>6090</v>
      </c>
      <c r="E102" t="str">
        <f>IF(D102="","",IFERROR(VLOOKUP(TEXT(D102,"0"),科目表!$A:$B,2,FALSE),""))</f>
        <v>水電瓦斯費</v>
      </c>
      <c r="F102" s="29">
        <v>43500</v>
      </c>
      <c r="G102" s="29"/>
    </row>
    <row r="103" spans="4:7" x14ac:dyDescent="0.3">
      <c r="F103" s="29"/>
      <c r="G103" s="29"/>
    </row>
  </sheetData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2"/>
  <sheetViews>
    <sheetView topLeftCell="A45" workbookViewId="0">
      <selection activeCell="E64" sqref="E64"/>
    </sheetView>
  </sheetViews>
  <sheetFormatPr defaultRowHeight="15" x14ac:dyDescent="0.3"/>
  <cols>
    <col min="1" max="1" width="25" customWidth="1"/>
    <col min="2" max="2" width="15" customWidth="1"/>
    <col min="4" max="4" width="25" customWidth="1"/>
    <col min="5" max="5" width="15" customWidth="1"/>
    <col min="8" max="8" width="9.5" bestFit="1" customWidth="1"/>
  </cols>
  <sheetData>
    <row r="1" spans="1:5" ht="19.8" x14ac:dyDescent="0.4">
      <c r="A1" s="30" t="s">
        <v>491</v>
      </c>
      <c r="B1" s="30"/>
      <c r="C1" s="30"/>
      <c r="D1" s="30"/>
      <c r="E1" s="30"/>
    </row>
    <row r="2" spans="1:5" x14ac:dyDescent="0.3">
      <c r="A2" s="12" t="s">
        <v>733</v>
      </c>
      <c r="B2" t="s">
        <v>732</v>
      </c>
    </row>
    <row r="4" spans="1:5" ht="16.2" x14ac:dyDescent="0.3">
      <c r="A4" s="13" t="s">
        <v>23</v>
      </c>
      <c r="D4" s="13" t="s">
        <v>492</v>
      </c>
    </row>
    <row r="5" spans="1:5" x14ac:dyDescent="0.3">
      <c r="A5" s="14" t="s">
        <v>24</v>
      </c>
      <c r="D5" s="14" t="s">
        <v>194</v>
      </c>
    </row>
    <row r="6" spans="1:5" x14ac:dyDescent="0.3">
      <c r="A6" s="15" t="s">
        <v>493</v>
      </c>
      <c r="B6" s="16">
        <f>IFERROR(VLOOKUP("1111",試算表!$A:$E,5,FALSE),0)</f>
        <v>0</v>
      </c>
      <c r="D6" s="15" t="s">
        <v>494</v>
      </c>
      <c r="E6" s="16">
        <f>IFERROR(VLOOKUP("2111",試算表!$A:$E,5,FALSE),0)</f>
        <v>0</v>
      </c>
    </row>
    <row r="7" spans="1:5" x14ac:dyDescent="0.3">
      <c r="A7" s="15" t="s">
        <v>495</v>
      </c>
      <c r="B7" s="16">
        <f>IFERROR(VLOOKUP("1112",試算表!$A:$E,5,FALSE),0)</f>
        <v>0</v>
      </c>
      <c r="D7" s="15" t="s">
        <v>496</v>
      </c>
      <c r="E7" s="16">
        <f>IFERROR(VLOOKUP("2112",試算表!$A:$E,5,FALSE),0)</f>
        <v>171000</v>
      </c>
    </row>
    <row r="8" spans="1:5" x14ac:dyDescent="0.3">
      <c r="A8" s="15" t="s">
        <v>497</v>
      </c>
      <c r="B8" s="16">
        <f>IFERROR(VLOOKUP("11121",試算表!$A:$E,5,FALSE),0)</f>
        <v>11097</v>
      </c>
      <c r="D8" s="15" t="s">
        <v>498</v>
      </c>
      <c r="E8" s="16">
        <f>IFERROR(VLOOKUP("2113",試算表!$A:$E,5,FALSE),0)</f>
        <v>0</v>
      </c>
    </row>
    <row r="9" spans="1:5" x14ac:dyDescent="0.3">
      <c r="A9" s="15" t="s">
        <v>499</v>
      </c>
      <c r="B9" s="16">
        <f>IFERROR(VLOOKUP("11122",試算表!$A:$E,5,FALSE),0)</f>
        <v>1773</v>
      </c>
      <c r="D9" s="15" t="s">
        <v>500</v>
      </c>
      <c r="E9" s="16">
        <f>IFERROR(VLOOKUP("2119",試算表!$A:$E,5,FALSE),0)</f>
        <v>0</v>
      </c>
    </row>
    <row r="10" spans="1:5" hidden="1" x14ac:dyDescent="0.3">
      <c r="A10" s="15" t="s">
        <v>501</v>
      </c>
      <c r="B10" s="16">
        <f>IFERROR(VLOOKUP("11123",試算表!$A:$E,5,FALSE),0)</f>
        <v>0</v>
      </c>
      <c r="D10" s="15" t="s">
        <v>502</v>
      </c>
      <c r="E10" s="16">
        <f>IFERROR(VLOOKUP("2140",試算表!$A:$E,5,FALSE),0)</f>
        <v>0</v>
      </c>
    </row>
    <row r="11" spans="1:5" hidden="1" x14ac:dyDescent="0.3">
      <c r="A11" s="15" t="s">
        <v>503</v>
      </c>
      <c r="B11" s="16">
        <f>IFERROR(VLOOKUP("11124",試算表!$A:$E,5,FALSE),0)</f>
        <v>0</v>
      </c>
      <c r="D11" s="15" t="s">
        <v>504</v>
      </c>
      <c r="E11" s="16">
        <f>IFERROR(VLOOKUP("2150",試算表!$A:$E,5,FALSE),0)</f>
        <v>0</v>
      </c>
    </row>
    <row r="12" spans="1:5" hidden="1" x14ac:dyDescent="0.3">
      <c r="A12" s="15" t="s">
        <v>505</v>
      </c>
      <c r="B12" s="16">
        <f>IFERROR(VLOOKUP("1113",試算表!$A:$E,5,FALSE),0)</f>
        <v>0</v>
      </c>
      <c r="D12" s="15" t="s">
        <v>506</v>
      </c>
      <c r="E12" s="16">
        <f>IFERROR(VLOOKUP("2170",試算表!$A:$E,5,FALSE),0)</f>
        <v>0</v>
      </c>
    </row>
    <row r="13" spans="1:5" hidden="1" x14ac:dyDescent="0.3">
      <c r="A13" s="15" t="s">
        <v>507</v>
      </c>
      <c r="B13" s="16">
        <f>IFERROR(VLOOKUP("1114",試算表!$A:$E,5,FALSE),0)</f>
        <v>0</v>
      </c>
      <c r="D13" s="15" t="s">
        <v>508</v>
      </c>
      <c r="E13" s="16">
        <f>IFERROR(VLOOKUP("2180",試算表!$A:$E,5,FALSE),0)</f>
        <v>0</v>
      </c>
    </row>
    <row r="14" spans="1:5" hidden="1" x14ac:dyDescent="0.3">
      <c r="A14" s="15" t="s">
        <v>509</v>
      </c>
      <c r="B14" s="16">
        <f>IFERROR(VLOOKUP("1151",試算表!$A:$E,5,FALSE),0)</f>
        <v>0</v>
      </c>
      <c r="D14" s="15" t="s">
        <v>510</v>
      </c>
      <c r="E14" s="16">
        <f>IFERROR(VLOOKUP("2126",試算表!$A:$E,5,FALSE),0)</f>
        <v>0</v>
      </c>
    </row>
    <row r="15" spans="1:5" hidden="1" x14ac:dyDescent="0.3">
      <c r="A15" s="15" t="s">
        <v>511</v>
      </c>
      <c r="B15" s="16">
        <f>IFERROR(VLOOKUP("1154",試算表!$A:$E,5,FALSE),0)</f>
        <v>0</v>
      </c>
      <c r="D15" s="15" t="s">
        <v>512</v>
      </c>
      <c r="E15" s="16">
        <f>IFERROR(VLOOKUP("2120",試算表!$A:$E,5,FALSE),0)</f>
        <v>0</v>
      </c>
    </row>
    <row r="16" spans="1:5" x14ac:dyDescent="0.3">
      <c r="A16" s="15" t="s">
        <v>513</v>
      </c>
      <c r="B16" s="16">
        <f>IFERROR(VLOOKUP("1158",試算表!$A:$E,5,FALSE),0)</f>
        <v>0</v>
      </c>
      <c r="D16" s="15" t="s">
        <v>514</v>
      </c>
      <c r="E16" s="16">
        <f>IFERROR(VLOOKUP("2121",試算表!$A:$E,5,FALSE),0)</f>
        <v>1099111</v>
      </c>
    </row>
    <row r="17" spans="1:5" x14ac:dyDescent="0.3">
      <c r="A17" s="15" t="s">
        <v>515</v>
      </c>
      <c r="B17" s="16">
        <f>IFERROR(VLOOKUP("1161",試算表!$A:$E,5,FALSE),0)</f>
        <v>0</v>
      </c>
      <c r="D17" s="15" t="s">
        <v>516</v>
      </c>
      <c r="E17" s="16">
        <f>IFERROR(VLOOKUP("2131",試算表!$A:$E,5,FALSE),0)</f>
        <v>0</v>
      </c>
    </row>
    <row r="18" spans="1:5" x14ac:dyDescent="0.3">
      <c r="A18" s="15" t="s">
        <v>517</v>
      </c>
      <c r="B18" s="16">
        <f>IFERROR(VLOOKUP("1157",試算表!$A:$E,5,FALSE),0)</f>
        <v>0</v>
      </c>
      <c r="D18" s="15" t="s">
        <v>518</v>
      </c>
      <c r="E18" s="16">
        <f>IFERROR(VLOOKUP("2132",試算表!$A:$E,5,FALSE),0)</f>
        <v>0</v>
      </c>
    </row>
    <row r="19" spans="1:5" x14ac:dyDescent="0.3">
      <c r="A19" s="15" t="s">
        <v>519</v>
      </c>
      <c r="B19" s="16">
        <f>IFERROR(VLOOKUP("1159",試算表!$A:$E,5,FALSE),0)</f>
        <v>0</v>
      </c>
      <c r="D19" s="15" t="s">
        <v>520</v>
      </c>
      <c r="E19" s="16">
        <f>IFERROR(VLOOKUP("2133",試算表!$A:$E,5,FALSE),0)</f>
        <v>0</v>
      </c>
    </row>
    <row r="20" spans="1:5" x14ac:dyDescent="0.3">
      <c r="A20" s="15" t="s">
        <v>521</v>
      </c>
      <c r="B20" s="16">
        <f>IFERROR(VLOOKUP("1125",試算表!$A:$E,5,FALSE),0)</f>
        <v>0</v>
      </c>
      <c r="D20" s="15" t="s">
        <v>522</v>
      </c>
      <c r="E20" s="16">
        <f>IFERROR(VLOOKUP("2134",試算表!$A:$E,5,FALSE),0)</f>
        <v>25069</v>
      </c>
    </row>
    <row r="21" spans="1:5" x14ac:dyDescent="0.3">
      <c r="A21" s="15" t="s">
        <v>523</v>
      </c>
      <c r="B21" s="16">
        <f>IFERROR(VLOOKUP("1126",試算表!$A:$E,5,FALSE),0)</f>
        <v>0</v>
      </c>
      <c r="D21" s="15" t="s">
        <v>524</v>
      </c>
      <c r="E21" s="16">
        <f>IFERROR(VLOOKUP("2135",試算表!$A:$E,5,FALSE),0)</f>
        <v>0</v>
      </c>
    </row>
    <row r="22" spans="1:5" x14ac:dyDescent="0.3">
      <c r="A22" s="15" t="s">
        <v>525</v>
      </c>
      <c r="B22" s="16">
        <f>IFERROR(VLOOKUP("1121",試算表!$A:$E,5,FALSE),0)</f>
        <v>0</v>
      </c>
      <c r="D22" s="15" t="s">
        <v>526</v>
      </c>
      <c r="E22" s="16">
        <f>IFERROR(VLOOKUP("2137",試算表!$A:$E,5,FALSE),0)</f>
        <v>0</v>
      </c>
    </row>
    <row r="23" spans="1:5" x14ac:dyDescent="0.3">
      <c r="A23" s="15" t="s">
        <v>527</v>
      </c>
      <c r="B23" s="16">
        <f>IFERROR(VLOOKUP("1122",試算表!$A:$E,5,FALSE),0)</f>
        <v>0</v>
      </c>
      <c r="D23" s="15" t="s">
        <v>528</v>
      </c>
      <c r="E23" s="16">
        <f>IFERROR(VLOOKUP("2138",試算表!$A:$E,5,FALSE),0)</f>
        <v>0</v>
      </c>
    </row>
    <row r="24" spans="1:5" x14ac:dyDescent="0.3">
      <c r="A24" s="15" t="s">
        <v>529</v>
      </c>
      <c r="B24" s="16">
        <f>IFERROR(VLOOKUP("1123",試算表!$A:$E,5,FALSE),0)</f>
        <v>159929</v>
      </c>
      <c r="D24" s="15" t="s">
        <v>530</v>
      </c>
      <c r="E24" s="16">
        <f>IFERROR(VLOOKUP("2191",試算表!$A:$E,5,FALSE),0)</f>
        <v>0</v>
      </c>
    </row>
    <row r="25" spans="1:5" x14ac:dyDescent="0.3">
      <c r="A25" s="15" t="s">
        <v>531</v>
      </c>
      <c r="B25" s="16">
        <f>IFERROR(VLOOKUP("1124",試算表!$A:$E,5,FALSE),0)</f>
        <v>0</v>
      </c>
      <c r="D25" s="15" t="s">
        <v>532</v>
      </c>
      <c r="E25" s="16">
        <f>IFERROR(VLOOKUP("2192",試算表!$A:$E,5,FALSE),0)</f>
        <v>0</v>
      </c>
    </row>
    <row r="26" spans="1:5" hidden="1" x14ac:dyDescent="0.3">
      <c r="A26" s="15" t="s">
        <v>533</v>
      </c>
      <c r="B26" s="16">
        <f>IFERROR(VLOOKUP("1129",試算表!$A:$E,5,FALSE),0)</f>
        <v>0</v>
      </c>
      <c r="D26" s="15" t="s">
        <v>534</v>
      </c>
      <c r="E26" s="16">
        <f>IFERROR(VLOOKUP("2195",試算表!$A:$E,5,FALSE),0)</f>
        <v>0</v>
      </c>
    </row>
    <row r="27" spans="1:5" hidden="1" x14ac:dyDescent="0.3">
      <c r="A27" s="15" t="s">
        <v>535</v>
      </c>
      <c r="B27" s="16">
        <f>IFERROR(VLOOKUP("1131",試算表!$A:$E,5,FALSE),0)</f>
        <v>0</v>
      </c>
      <c r="D27" s="15" t="s">
        <v>536</v>
      </c>
      <c r="E27" s="16">
        <f>IFERROR(VLOOKUP("21951",試算表!$A:$E,5,FALSE),0)</f>
        <v>0</v>
      </c>
    </row>
    <row r="28" spans="1:5" hidden="1" x14ac:dyDescent="0.3">
      <c r="A28" s="15" t="s">
        <v>537</v>
      </c>
      <c r="B28" s="16">
        <f>IFERROR(VLOOKUP("1132",試算表!$A:$E,5,FALSE),0)</f>
        <v>0</v>
      </c>
      <c r="D28" s="15" t="s">
        <v>538</v>
      </c>
      <c r="E28" s="16">
        <f>IFERROR(VLOOKUP("21952",試算表!$A:$E,5,FALSE),0)</f>
        <v>0</v>
      </c>
    </row>
    <row r="29" spans="1:5" hidden="1" x14ac:dyDescent="0.3">
      <c r="A29" s="15" t="s">
        <v>539</v>
      </c>
      <c r="B29" s="16">
        <f>IFERROR(VLOOKUP("1133",試算表!$A:$E,5,FALSE),0)</f>
        <v>0</v>
      </c>
      <c r="D29" s="15" t="s">
        <v>540</v>
      </c>
      <c r="E29" s="16">
        <f>IFERROR(VLOOKUP("21953",試算表!$A:$E,5,FALSE),0)</f>
        <v>0</v>
      </c>
    </row>
    <row r="30" spans="1:5" hidden="1" x14ac:dyDescent="0.3">
      <c r="A30" s="15" t="s">
        <v>541</v>
      </c>
      <c r="B30" s="16">
        <f>IFERROR(VLOOKUP("1134",試算表!$A:$E,5,FALSE),0)</f>
        <v>0</v>
      </c>
      <c r="D30" s="15" t="s">
        <v>542</v>
      </c>
      <c r="E30" s="16">
        <f>IFERROR(VLOOKUP("2196",試算表!$A:$E,5,FALSE),0)</f>
        <v>0</v>
      </c>
    </row>
    <row r="31" spans="1:5" hidden="1" x14ac:dyDescent="0.3">
      <c r="A31" s="15" t="s">
        <v>543</v>
      </c>
      <c r="B31" s="16">
        <f>IFERROR(VLOOKUP("1135",試算表!$A:$E,5,FALSE),0)</f>
        <v>0</v>
      </c>
      <c r="D31" s="15" t="s">
        <v>544</v>
      </c>
      <c r="E31" s="16">
        <f>IFERROR(VLOOKUP("2210",試算表!$A:$E,5,FALSE),0)</f>
        <v>0</v>
      </c>
    </row>
    <row r="32" spans="1:5" hidden="1" x14ac:dyDescent="0.3">
      <c r="A32" s="15" t="s">
        <v>545</v>
      </c>
      <c r="B32" s="16">
        <f>IFERROR(VLOOKUP("1136",試算表!$A:$E,5,FALSE),0)</f>
        <v>0</v>
      </c>
      <c r="D32" s="15" t="s">
        <v>546</v>
      </c>
      <c r="E32" s="16">
        <f>IFERROR(VLOOKUP("2220",試算表!$A:$E,5,FALSE),0)</f>
        <v>0</v>
      </c>
    </row>
    <row r="33" spans="1:5" hidden="1" x14ac:dyDescent="0.3">
      <c r="A33" s="15" t="s">
        <v>547</v>
      </c>
      <c r="B33" s="16">
        <f>IFERROR(VLOOKUP("1138",試算表!$A:$E,5,FALSE),0)</f>
        <v>0</v>
      </c>
      <c r="D33" s="15" t="s">
        <v>548</v>
      </c>
      <c r="E33" s="16">
        <f>IFERROR(VLOOKUP("2230",試算表!$A:$E,5,FALSE),0)</f>
        <v>0</v>
      </c>
    </row>
    <row r="34" spans="1:5" hidden="1" x14ac:dyDescent="0.3">
      <c r="A34" s="15" t="s">
        <v>549</v>
      </c>
      <c r="B34" s="16">
        <f>IFERROR(VLOOKUP("1137",試算表!$A:$E,5,FALSE),0)</f>
        <v>0</v>
      </c>
      <c r="D34" s="15" t="s">
        <v>550</v>
      </c>
      <c r="E34" s="16">
        <f>IFERROR(VLOOKUP("2240",試算表!$A:$E,5,FALSE),0)</f>
        <v>0</v>
      </c>
    </row>
    <row r="35" spans="1:5" hidden="1" x14ac:dyDescent="0.3">
      <c r="A35" s="15" t="s">
        <v>551</v>
      </c>
      <c r="B35" s="16">
        <f>IFERROR(VLOOKUP("1141",試算表!$A:$E,5,FALSE),0)</f>
        <v>0</v>
      </c>
      <c r="D35" s="15" t="s">
        <v>552</v>
      </c>
      <c r="E35" s="16">
        <f>IFERROR(VLOOKUP("2260",試算表!$A:$E,5,FALSE),0)</f>
        <v>0</v>
      </c>
    </row>
    <row r="36" spans="1:5" hidden="1" x14ac:dyDescent="0.3">
      <c r="A36" s="15" t="s">
        <v>553</v>
      </c>
      <c r="B36" s="16">
        <f>IFERROR(VLOOKUP("1142",試算表!$A:$E,5,FALSE),0)</f>
        <v>0</v>
      </c>
      <c r="D36" s="15" t="s">
        <v>554</v>
      </c>
      <c r="E36" s="16">
        <f>IFERROR(VLOOKUP("2270",試算表!$A:$E,5,FALSE),0)</f>
        <v>0</v>
      </c>
    </row>
    <row r="37" spans="1:5" hidden="1" x14ac:dyDescent="0.3">
      <c r="A37" s="15" t="s">
        <v>555</v>
      </c>
      <c r="B37" s="16">
        <f>IFERROR(VLOOKUP("1143",試算表!$A:$E,5,FALSE),0)</f>
        <v>0</v>
      </c>
      <c r="D37" s="15" t="s">
        <v>556</v>
      </c>
      <c r="E37" s="16">
        <f>IFERROR(VLOOKUP("2280",試算表!$A:$E,5,FALSE),0)</f>
        <v>0</v>
      </c>
    </row>
    <row r="38" spans="1:5" x14ac:dyDescent="0.3">
      <c r="A38" s="15" t="s">
        <v>557</v>
      </c>
      <c r="B38" s="16">
        <f>IFERROR(VLOOKUP("1144",試算表!$A:$E,5,FALSE),0)</f>
        <v>16513</v>
      </c>
      <c r="D38" s="15" t="s">
        <v>558</v>
      </c>
      <c r="E38" s="16">
        <f>IFERROR(VLOOKUP("2281",試算表!$A:$E,5,FALSE),0)</f>
        <v>0</v>
      </c>
    </row>
    <row r="39" spans="1:5" x14ac:dyDescent="0.3">
      <c r="A39" s="15" t="s">
        <v>559</v>
      </c>
      <c r="B39" s="16">
        <f>IFERROR(VLOOKUP("1145",試算表!$A:$E,5,FALSE),0)</f>
        <v>0</v>
      </c>
      <c r="D39" s="15" t="s">
        <v>560</v>
      </c>
      <c r="E39" s="16">
        <f>IFERROR(VLOOKUP("2290",試算表!$A:$E,5,FALSE),0)</f>
        <v>0</v>
      </c>
    </row>
    <row r="40" spans="1:5" x14ac:dyDescent="0.3">
      <c r="A40" s="15" t="s">
        <v>561</v>
      </c>
      <c r="B40" s="16">
        <f>IFERROR(VLOOKUP("1149",試算表!$A:$E,5,FALSE),0)</f>
        <v>0</v>
      </c>
      <c r="D40" s="17" t="s">
        <v>562</v>
      </c>
      <c r="E40" s="18">
        <f>SUM(E6:E39)</f>
        <v>1295180</v>
      </c>
    </row>
    <row r="41" spans="1:5" x14ac:dyDescent="0.3">
      <c r="A41" s="15" t="s">
        <v>563</v>
      </c>
      <c r="B41" s="16">
        <f>IFERROR(VLOOKUP("1191",試算表!$A:$E,5,FALSE),0)</f>
        <v>0</v>
      </c>
      <c r="D41" s="14" t="s">
        <v>262</v>
      </c>
    </row>
    <row r="42" spans="1:5" x14ac:dyDescent="0.3">
      <c r="A42" s="15" t="s">
        <v>564</v>
      </c>
      <c r="B42" s="16">
        <f>IFERROR(VLOOKUP("1192",試算表!$A:$E,5,FALSE),0)</f>
        <v>0</v>
      </c>
      <c r="D42" s="15" t="s">
        <v>565</v>
      </c>
      <c r="E42" s="16">
        <f>IFERROR(VLOOKUP("2910",試算表!$A:$E,5,FALSE),0)</f>
        <v>0</v>
      </c>
    </row>
    <row r="43" spans="1:5" x14ac:dyDescent="0.3">
      <c r="A43" s="15" t="s">
        <v>566</v>
      </c>
      <c r="B43" s="16">
        <f>IFERROR(VLOOKUP("1193",試算表!$A:$E,5,FALSE),0)</f>
        <v>0</v>
      </c>
      <c r="D43" s="15" t="s">
        <v>567</v>
      </c>
      <c r="E43" s="16">
        <f>IFERROR(VLOOKUP("2940",試算表!$A:$E,5,FALSE),0)</f>
        <v>0</v>
      </c>
    </row>
    <row r="44" spans="1:5" x14ac:dyDescent="0.3">
      <c r="A44" s="15" t="s">
        <v>568</v>
      </c>
      <c r="B44" s="16">
        <f>IFERROR(VLOOKUP("1199",試算表!$A:$E,5,FALSE),0)</f>
        <v>0</v>
      </c>
      <c r="D44" s="15" t="s">
        <v>569</v>
      </c>
      <c r="E44" s="16">
        <f>IFERROR(VLOOKUP("2951",試算表!$A:$E,5,FALSE),0)</f>
        <v>0</v>
      </c>
    </row>
    <row r="45" spans="1:5" x14ac:dyDescent="0.3">
      <c r="A45" s="15" t="s">
        <v>570</v>
      </c>
      <c r="B45" s="16">
        <f>IFERROR(VLOOKUP("1300",試算表!$A:$E,5,FALSE),0)</f>
        <v>0</v>
      </c>
      <c r="D45" s="15" t="s">
        <v>571</v>
      </c>
      <c r="E45" s="16">
        <f>IFERROR(VLOOKUP("2970",試算表!$A:$E,5,FALSE),0)</f>
        <v>0</v>
      </c>
    </row>
    <row r="46" spans="1:5" x14ac:dyDescent="0.3">
      <c r="A46" s="17" t="s">
        <v>572</v>
      </c>
      <c r="B46" s="18">
        <f>SUM(B6:B45)</f>
        <v>189312</v>
      </c>
      <c r="D46" s="15" t="s">
        <v>573</v>
      </c>
      <c r="E46" s="16">
        <f>IFERROR(VLOOKUP("2999",試算表!$A:$E,5,FALSE),0)</f>
        <v>0</v>
      </c>
    </row>
    <row r="47" spans="1:5" x14ac:dyDescent="0.3">
      <c r="A47" s="14" t="s">
        <v>106</v>
      </c>
      <c r="D47" s="17" t="s">
        <v>574</v>
      </c>
      <c r="E47" s="18">
        <f>SUM(E42:E46)</f>
        <v>0</v>
      </c>
    </row>
    <row r="48" spans="1:5" x14ac:dyDescent="0.3">
      <c r="A48" s="15" t="s">
        <v>575</v>
      </c>
      <c r="B48" s="16">
        <f>IFERROR(VLOOKUP("1415",試算表!$A:$E,5,FALSE),0)</f>
        <v>0</v>
      </c>
      <c r="D48" s="14" t="s">
        <v>274</v>
      </c>
    </row>
    <row r="49" spans="1:5" x14ac:dyDescent="0.3">
      <c r="A49" s="15" t="s">
        <v>576</v>
      </c>
      <c r="B49" s="16">
        <f>IFERROR(VLOOKUP("1612",試算表!$A:$E,5,FALSE),0)</f>
        <v>0</v>
      </c>
      <c r="D49" s="15" t="s">
        <v>577</v>
      </c>
      <c r="E49" s="16">
        <f>IFERROR(VLOOKUP("3110",試算表!$A:$E,5,FALSE),0)</f>
        <v>1000000</v>
      </c>
    </row>
    <row r="50" spans="1:5" x14ac:dyDescent="0.3">
      <c r="A50" s="15" t="s">
        <v>578</v>
      </c>
      <c r="B50" s="16">
        <f>IFERROR(VLOOKUP("1615",試算表!$A:$E,5,FALSE),0)</f>
        <v>0</v>
      </c>
      <c r="D50" s="15" t="s">
        <v>579</v>
      </c>
      <c r="E50" s="16">
        <f>IFERROR(VLOOKUP("3330",試算表!$A:$E,5,FALSE),0)</f>
        <v>0</v>
      </c>
    </row>
    <row r="51" spans="1:5" x14ac:dyDescent="0.3">
      <c r="A51" s="15" t="s">
        <v>580</v>
      </c>
      <c r="B51" s="16">
        <f>IFERROR(VLOOKUP("1621",試算表!$A:$E,5,FALSE),0)</f>
        <v>0</v>
      </c>
      <c r="D51" s="15" t="s">
        <v>581</v>
      </c>
      <c r="E51" s="16">
        <f>IFERROR(VLOOKUP("3410",試算表!$A:$E,5,FALSE),0)</f>
        <v>0</v>
      </c>
    </row>
    <row r="52" spans="1:5" x14ac:dyDescent="0.3">
      <c r="A52" s="15" t="s">
        <v>582</v>
      </c>
      <c r="B52" s="16">
        <f>IFERROR(VLOOKUP("1622",試算表!$A:$E,5,FALSE),0)</f>
        <v>0</v>
      </c>
      <c r="D52" s="15" t="s">
        <v>583</v>
      </c>
      <c r="E52" s="16">
        <f>IFERROR(VLOOKUP("3420",試算表!$A:$E,5,FALSE),0)</f>
        <v>0</v>
      </c>
    </row>
    <row r="53" spans="1:5" x14ac:dyDescent="0.3">
      <c r="A53" s="15" t="s">
        <v>584</v>
      </c>
      <c r="B53" s="16">
        <f>IFERROR(VLOOKUP("1618",試算表!$A:$E,5,FALSE),0)</f>
        <v>0</v>
      </c>
      <c r="D53" s="15" t="s">
        <v>585</v>
      </c>
      <c r="E53" s="16">
        <f>IFERROR(VLOOKUP("3430",試算表!$A:$E,5,FALSE),0)</f>
        <v>-1929131</v>
      </c>
    </row>
    <row r="54" spans="1:5" x14ac:dyDescent="0.3">
      <c r="A54" s="15" t="s">
        <v>586</v>
      </c>
      <c r="B54" s="16">
        <f>IFERROR(VLOOKUP("1630",試算表!$A:$E,5,FALSE),0)</f>
        <v>0</v>
      </c>
      <c r="D54" s="15" t="s">
        <v>587</v>
      </c>
      <c r="E54" s="16">
        <f>IFERROR(VLOOKUP("3434",試算表!$A:$E,5,FALSE),0)</f>
        <v>0</v>
      </c>
    </row>
    <row r="55" spans="1:5" x14ac:dyDescent="0.3">
      <c r="A55" s="15" t="s">
        <v>588</v>
      </c>
      <c r="B55" s="16">
        <f>IFERROR(VLOOKUP("1631",試算表!$A:$E,5,FALSE),0)</f>
        <v>0</v>
      </c>
      <c r="D55" s="15" t="s">
        <v>589</v>
      </c>
      <c r="E55" s="16">
        <f>IFERROR(VLOOKUP("3435",試算表!$A:$E,5,FALSE),0)</f>
        <v>0</v>
      </c>
    </row>
    <row r="56" spans="1:5" x14ac:dyDescent="0.3">
      <c r="A56" s="15" t="s">
        <v>590</v>
      </c>
      <c r="B56" s="16">
        <f>IFERROR(VLOOKUP("1640",試算表!$A:$E,5,FALSE),0)</f>
        <v>0</v>
      </c>
      <c r="D56" s="15" t="s">
        <v>591</v>
      </c>
      <c r="E56" s="16">
        <f>損益表!B82</f>
        <v>111813</v>
      </c>
    </row>
    <row r="57" spans="1:5" hidden="1" x14ac:dyDescent="0.3">
      <c r="A57" s="15" t="s">
        <v>592</v>
      </c>
      <c r="B57" s="16">
        <f>IFERROR(VLOOKUP("1641",試算表!$A:$E,5,FALSE),0)</f>
        <v>0</v>
      </c>
      <c r="D57" s="15" t="s">
        <v>593</v>
      </c>
      <c r="E57" s="16">
        <f>IFERROR(VLOOKUP("3502",試算表!$A:$E,5,FALSE),0)</f>
        <v>0</v>
      </c>
    </row>
    <row r="58" spans="1:5" hidden="1" x14ac:dyDescent="0.3">
      <c r="A58" s="15" t="s">
        <v>594</v>
      </c>
      <c r="B58" s="16">
        <f>IFERROR(VLOOKUP("1410",試算表!$A:$E,5,FALSE),0)</f>
        <v>0</v>
      </c>
      <c r="D58" s="15" t="s">
        <v>595</v>
      </c>
      <c r="E58" s="16">
        <f>IFERROR(VLOOKUP("3503",試算表!$A:$E,5,FALSE),0)</f>
        <v>0</v>
      </c>
    </row>
    <row r="59" spans="1:5" hidden="1" x14ac:dyDescent="0.3">
      <c r="A59" s="15" t="s">
        <v>596</v>
      </c>
      <c r="B59" s="16">
        <f>IFERROR(VLOOKUP("1411",試算表!$A:$E,5,FALSE),0)</f>
        <v>0</v>
      </c>
      <c r="D59" s="15" t="s">
        <v>597</v>
      </c>
      <c r="E59" s="16">
        <f>IFERROR(VLOOKUP("3504",試算表!$A:$E,5,FALSE),0)</f>
        <v>0</v>
      </c>
    </row>
    <row r="60" spans="1:5" hidden="1" x14ac:dyDescent="0.3">
      <c r="A60" s="15" t="s">
        <v>598</v>
      </c>
      <c r="B60" s="16">
        <f>IFERROR(VLOOKUP("1431",試算表!$A:$E,5,FALSE),0)</f>
        <v>0</v>
      </c>
      <c r="D60" s="15" t="s">
        <v>599</v>
      </c>
      <c r="E60" s="16">
        <f>IFERROR(VLOOKUP("3505",試算表!$A:$E,5,FALSE),0)</f>
        <v>0</v>
      </c>
    </row>
    <row r="61" spans="1:5" hidden="1" x14ac:dyDescent="0.3">
      <c r="A61" s="15" t="s">
        <v>600</v>
      </c>
      <c r="B61" s="16">
        <f>IFERROR(VLOOKUP("1432",試算表!$A:$E,5,FALSE),0)</f>
        <v>0</v>
      </c>
      <c r="D61" s="15" t="s">
        <v>601</v>
      </c>
      <c r="E61" s="16">
        <f>IFERROR(VLOOKUP("3507",試算表!$A:$E,5,FALSE),0)</f>
        <v>0</v>
      </c>
    </row>
    <row r="62" spans="1:5" hidden="1" x14ac:dyDescent="0.3">
      <c r="A62" s="15" t="s">
        <v>602</v>
      </c>
      <c r="B62" s="16">
        <f>IFERROR(VLOOKUP("1433",試算表!$A:$E,5,FALSE),0)</f>
        <v>0</v>
      </c>
      <c r="D62" s="15" t="s">
        <v>603</v>
      </c>
      <c r="E62" s="16">
        <f>IFERROR(VLOOKUP("3506",試算表!$A:$E,5,FALSE),0)</f>
        <v>0</v>
      </c>
    </row>
    <row r="63" spans="1:5" hidden="1" x14ac:dyDescent="0.3">
      <c r="A63" s="15" t="s">
        <v>604</v>
      </c>
      <c r="B63" s="16">
        <f>IFERROR(VLOOKUP("1441",試算表!$A:$E,5,FALSE),0)</f>
        <v>0</v>
      </c>
      <c r="D63" s="15" t="s">
        <v>605</v>
      </c>
      <c r="E63" s="16">
        <f>IFERROR(VLOOKUP("3600",試算表!$A:$E,5,FALSE),0)</f>
        <v>0</v>
      </c>
    </row>
    <row r="64" spans="1:5" x14ac:dyDescent="0.3">
      <c r="A64" s="15" t="s">
        <v>606</v>
      </c>
      <c r="B64" s="16">
        <f>IFERROR(VLOOKUP("1442",試算表!$A:$E,5,FALSE),0)</f>
        <v>0</v>
      </c>
      <c r="D64" s="17" t="s">
        <v>607</v>
      </c>
      <c r="E64" s="18">
        <f>SUM(E49:E63)</f>
        <v>-817318</v>
      </c>
    </row>
    <row r="65" spans="1:8" x14ac:dyDescent="0.3">
      <c r="A65" s="15" t="s">
        <v>608</v>
      </c>
      <c r="B65" s="16">
        <f>IFERROR(VLOOKUP("1443",試算表!$A:$E,5,FALSE),0)</f>
        <v>0</v>
      </c>
      <c r="D65" s="19" t="s">
        <v>609</v>
      </c>
      <c r="E65" s="20">
        <f>E40+E47+E64</f>
        <v>477862</v>
      </c>
    </row>
    <row r="66" spans="1:8" x14ac:dyDescent="0.3">
      <c r="A66" s="15" t="s">
        <v>610</v>
      </c>
      <c r="B66" s="16">
        <f>IFERROR(VLOOKUP("1451",試算表!$A:$E,5,FALSE),0)</f>
        <v>0</v>
      </c>
    </row>
    <row r="67" spans="1:8" x14ac:dyDescent="0.3">
      <c r="A67" s="15" t="s">
        <v>611</v>
      </c>
      <c r="B67" s="21" t="str">
        <f>IF(B92=E65,"✓ 平衡","✗ 不平衡")</f>
        <v>✓ 平衡</v>
      </c>
    </row>
    <row r="68" spans="1:8" x14ac:dyDescent="0.3">
      <c r="A68" s="15" t="s">
        <v>612</v>
      </c>
      <c r="B68" s="16">
        <f>IFERROR(VLOOKUP("1453",試算表!$A:$E,5,FALSE),0)</f>
        <v>0</v>
      </c>
    </row>
    <row r="69" spans="1:8" x14ac:dyDescent="0.3">
      <c r="A69" s="15" t="s">
        <v>613</v>
      </c>
      <c r="B69" s="16">
        <f>IFERROR(VLOOKUP("1461",試算表!$A:$E,5,FALSE),0)</f>
        <v>344800</v>
      </c>
    </row>
    <row r="70" spans="1:8" x14ac:dyDescent="0.3">
      <c r="A70" s="15" t="s">
        <v>614</v>
      </c>
      <c r="B70" s="16">
        <f>IFERROR(VLOOKUP("1462",試算表!$A:$E,5,FALSE),0)</f>
        <v>106250</v>
      </c>
    </row>
    <row r="71" spans="1:8" hidden="1" x14ac:dyDescent="0.3">
      <c r="A71" s="15" t="s">
        <v>615</v>
      </c>
      <c r="B71" s="16">
        <f>IFERROR(VLOOKUP("1463",試算表!$A:$E,5,FALSE),0)</f>
        <v>0</v>
      </c>
    </row>
    <row r="72" spans="1:8" hidden="1" x14ac:dyDescent="0.3">
      <c r="A72" s="15" t="s">
        <v>616</v>
      </c>
      <c r="B72" s="16">
        <f>IFERROR(VLOOKUP("1470",試算表!$A:$E,5,FALSE),0)</f>
        <v>0</v>
      </c>
    </row>
    <row r="73" spans="1:8" hidden="1" x14ac:dyDescent="0.3">
      <c r="A73" s="15" t="s">
        <v>617</v>
      </c>
      <c r="B73" s="16">
        <f>IFERROR(VLOOKUP("1580",試算表!$A:$E,5,FALSE),0)</f>
        <v>0</v>
      </c>
    </row>
    <row r="74" spans="1:8" hidden="1" x14ac:dyDescent="0.3">
      <c r="A74" s="15" t="s">
        <v>618</v>
      </c>
      <c r="B74" s="16">
        <f>IFERROR(VLOOKUP("1491",試算表!$A:$E,5,FALSE),0)</f>
        <v>0</v>
      </c>
    </row>
    <row r="75" spans="1:8" hidden="1" x14ac:dyDescent="0.3">
      <c r="A75" s="15" t="s">
        <v>619</v>
      </c>
      <c r="B75" s="16">
        <f>IFERROR(VLOOKUP("1492",試算表!$A:$E,5,FALSE),0)</f>
        <v>0</v>
      </c>
      <c r="H75" s="27">
        <f>B92-E65</f>
        <v>0</v>
      </c>
    </row>
    <row r="76" spans="1:8" hidden="1" x14ac:dyDescent="0.3">
      <c r="A76" s="15" t="s">
        <v>620</v>
      </c>
      <c r="B76" s="16">
        <f>IFERROR(VLOOKUP("1493",試算表!$A:$E,5,FALSE),0)</f>
        <v>0</v>
      </c>
    </row>
    <row r="77" spans="1:8" hidden="1" x14ac:dyDescent="0.3">
      <c r="A77" s="15" t="s">
        <v>621</v>
      </c>
      <c r="B77" s="16">
        <f>IFERROR(VLOOKUP("1541",試算表!$A:$E,5,FALSE),0)</f>
        <v>0</v>
      </c>
    </row>
    <row r="78" spans="1:8" hidden="1" x14ac:dyDescent="0.3">
      <c r="A78" s="15" t="s">
        <v>622</v>
      </c>
      <c r="B78" s="16">
        <f>IFERROR(VLOOKUP("1542",試算表!$A:$E,5,FALSE),0)</f>
        <v>0</v>
      </c>
    </row>
    <row r="79" spans="1:8" hidden="1" x14ac:dyDescent="0.3">
      <c r="A79" s="15" t="s">
        <v>623</v>
      </c>
      <c r="B79" s="16">
        <f>IFERROR(VLOOKUP("1421",試算表!$A:$E,5,FALSE),0)</f>
        <v>0</v>
      </c>
    </row>
    <row r="80" spans="1:8" hidden="1" x14ac:dyDescent="0.3">
      <c r="A80" s="15" t="s">
        <v>624</v>
      </c>
      <c r="B80" s="16">
        <f>IFERROR(VLOOKUP("1422",試算表!$A:$E,5,FALSE),0)</f>
        <v>0</v>
      </c>
    </row>
    <row r="81" spans="1:2" hidden="1" x14ac:dyDescent="0.3">
      <c r="A81" s="15" t="s">
        <v>625</v>
      </c>
      <c r="B81" s="16">
        <f>IFERROR(VLOOKUP("1551",試算表!$A:$E,5,FALSE),0)</f>
        <v>0</v>
      </c>
    </row>
    <row r="82" spans="1:2" hidden="1" x14ac:dyDescent="0.3">
      <c r="A82" s="15" t="s">
        <v>626</v>
      </c>
      <c r="B82" s="16">
        <f>IFERROR(VLOOKUP("1552",試算表!$A:$E,5,FALSE),0)</f>
        <v>0</v>
      </c>
    </row>
    <row r="83" spans="1:2" hidden="1" x14ac:dyDescent="0.3">
      <c r="A83" s="15" t="s">
        <v>627</v>
      </c>
      <c r="B83" s="16">
        <f>IFERROR(VLOOKUP("1553",試算表!$A:$E,5,FALSE),0)</f>
        <v>0</v>
      </c>
    </row>
    <row r="84" spans="1:2" hidden="1" x14ac:dyDescent="0.3">
      <c r="A84" s="15" t="s">
        <v>628</v>
      </c>
      <c r="B84" s="16">
        <f>IFERROR(VLOOKUP("1510",試算表!$A:$E,5,FALSE),0)</f>
        <v>0</v>
      </c>
    </row>
    <row r="85" spans="1:2" hidden="1" x14ac:dyDescent="0.3">
      <c r="A85" s="15" t="s">
        <v>629</v>
      </c>
      <c r="B85" s="16">
        <f>IFERROR(VLOOKUP("1511",試算表!$A:$E,5,FALSE),0)</f>
        <v>0</v>
      </c>
    </row>
    <row r="86" spans="1:2" hidden="1" x14ac:dyDescent="0.3">
      <c r="A86" s="15" t="s">
        <v>630</v>
      </c>
      <c r="B86" s="16">
        <f>IFERROR(VLOOKUP("1512",試算表!$A:$E,5,FALSE),0)</f>
        <v>0</v>
      </c>
    </row>
    <row r="87" spans="1:2" x14ac:dyDescent="0.3">
      <c r="A87" s="15" t="s">
        <v>631</v>
      </c>
      <c r="B87" s="16">
        <f>IFERROR(VLOOKUP("1901",試算表!$A:$E,5,FALSE),0)</f>
        <v>50000</v>
      </c>
    </row>
    <row r="88" spans="1:2" x14ac:dyDescent="0.3">
      <c r="A88" s="15" t="s">
        <v>632</v>
      </c>
      <c r="B88" s="16">
        <f>IFERROR(VLOOKUP("1902",試算表!$A:$E,5,FALSE),0)</f>
        <v>0</v>
      </c>
    </row>
    <row r="89" spans="1:2" x14ac:dyDescent="0.3">
      <c r="A89" s="15" t="s">
        <v>633</v>
      </c>
      <c r="B89" s="16">
        <f>IFERROR(VLOOKUP("1903",試算表!$A:$E,5,FALSE),0)</f>
        <v>0</v>
      </c>
    </row>
    <row r="90" spans="1:2" x14ac:dyDescent="0.3">
      <c r="A90" s="15" t="s">
        <v>634</v>
      </c>
      <c r="B90" s="16">
        <f>IFERROR(VLOOKUP("1904",試算表!$A:$E,5,FALSE),0)</f>
        <v>0</v>
      </c>
    </row>
    <row r="91" spans="1:2" x14ac:dyDescent="0.3">
      <c r="A91" s="17" t="s">
        <v>635</v>
      </c>
      <c r="B91" s="18">
        <f>B69-B70+B87</f>
        <v>288550</v>
      </c>
    </row>
    <row r="92" spans="1:2" x14ac:dyDescent="0.3">
      <c r="A92" s="19" t="s">
        <v>636</v>
      </c>
      <c r="B92" s="20">
        <f>B46+B91</f>
        <v>477862</v>
      </c>
    </row>
  </sheetData>
  <mergeCells count="1">
    <mergeCell ref="A1:E1"/>
  </mergeCells>
  <phoneticPr fontId="1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2"/>
  <sheetViews>
    <sheetView tabSelected="1" topLeftCell="A6" zoomScale="122" zoomScaleNormal="122" workbookViewId="0">
      <selection activeCell="C21" sqref="C21"/>
    </sheetView>
  </sheetViews>
  <sheetFormatPr defaultRowHeight="15" x14ac:dyDescent="0.3"/>
  <cols>
    <col min="1" max="4" width="17" customWidth="1"/>
  </cols>
  <sheetData>
    <row r="1" spans="1:5" ht="19.8" x14ac:dyDescent="0.4">
      <c r="A1" s="30" t="s">
        <v>637</v>
      </c>
      <c r="B1" s="30"/>
      <c r="C1" s="30"/>
      <c r="D1" s="30"/>
      <c r="E1" s="30"/>
    </row>
    <row r="2" spans="1:5" x14ac:dyDescent="0.3">
      <c r="A2" s="12" t="s">
        <v>734</v>
      </c>
      <c r="B2" t="s">
        <v>732</v>
      </c>
    </row>
    <row r="4" spans="1:5" x14ac:dyDescent="0.3">
      <c r="A4" s="22" t="s">
        <v>638</v>
      </c>
      <c r="B4" s="23">
        <f>SUMIF(試算表!$F$2:$F$225,"收入",試算表!$E$2:$E$225)</f>
        <v>2489793</v>
      </c>
    </row>
    <row r="5" spans="1:5" x14ac:dyDescent="0.3">
      <c r="A5" s="15" t="s">
        <v>639</v>
      </c>
      <c r="B5" s="16">
        <f>VLOOKUP("4100",試算表!$A:$E,5,FALSE)</f>
        <v>2489793</v>
      </c>
    </row>
    <row r="6" spans="1:5" x14ac:dyDescent="0.3">
      <c r="A6" s="15" t="s">
        <v>640</v>
      </c>
      <c r="B6" s="16">
        <f>VLOOKUP("4110",試算表!$A:$E,5,FALSE)</f>
        <v>0</v>
      </c>
    </row>
    <row r="7" spans="1:5" x14ac:dyDescent="0.3">
      <c r="A7" s="15" t="s">
        <v>641</v>
      </c>
      <c r="B7" s="16">
        <f>VLOOKUP("4120",試算表!$A:$E,5,FALSE)</f>
        <v>0</v>
      </c>
    </row>
    <row r="8" spans="1:5" x14ac:dyDescent="0.3">
      <c r="A8" s="15" t="s">
        <v>642</v>
      </c>
      <c r="B8" s="16">
        <f>VLOOKUP("4200",試算表!$A:$E,5,FALSE)</f>
        <v>0</v>
      </c>
    </row>
    <row r="9" spans="1:5" x14ac:dyDescent="0.3">
      <c r="A9" s="15" t="s">
        <v>643</v>
      </c>
      <c r="B9" s="16">
        <f>VLOOKUP("4300",試算表!$A:$E,5,FALSE)</f>
        <v>0</v>
      </c>
    </row>
    <row r="10" spans="1:5" x14ac:dyDescent="0.3">
      <c r="A10" s="15" t="s">
        <v>644</v>
      </c>
      <c r="B10" s="16">
        <f>VLOOKUP("4400",試算表!$A:$E,5,FALSE)</f>
        <v>0</v>
      </c>
    </row>
    <row r="12" spans="1:5" x14ac:dyDescent="0.3">
      <c r="A12" s="22" t="s">
        <v>317</v>
      </c>
      <c r="B12" s="23">
        <f>SUMIF(試算表!$F$2:$F$225,"銷貨成本",試算表!$E$2:$E$225)</f>
        <v>1166877</v>
      </c>
    </row>
    <row r="13" spans="1:5" x14ac:dyDescent="0.3">
      <c r="A13" s="15" t="s">
        <v>645</v>
      </c>
      <c r="B13" s="16">
        <f>VLOOKUP("5100",試算表!$A:$E,5,FALSE)</f>
        <v>1166877</v>
      </c>
    </row>
    <row r="14" spans="1:5" x14ac:dyDescent="0.3">
      <c r="A14" s="15" t="s">
        <v>646</v>
      </c>
      <c r="B14" s="16">
        <f>VLOOKUP("5200",試算表!$A:$E,5,FALSE)</f>
        <v>0</v>
      </c>
    </row>
    <row r="15" spans="1:5" x14ac:dyDescent="0.3">
      <c r="A15" s="15" t="s">
        <v>647</v>
      </c>
      <c r="B15" s="16">
        <f>VLOOKUP("5300",試算表!$A:$E,5,FALSE)</f>
        <v>0</v>
      </c>
    </row>
    <row r="16" spans="1:5" x14ac:dyDescent="0.3">
      <c r="A16" s="15" t="s">
        <v>648</v>
      </c>
      <c r="B16" s="16">
        <f>VLOOKUP("5400",試算表!$A:$E,5,FALSE)</f>
        <v>0</v>
      </c>
    </row>
    <row r="18" spans="1:2" x14ac:dyDescent="0.3">
      <c r="A18" s="9" t="s">
        <v>649</v>
      </c>
      <c r="B18" s="24">
        <f>B4-B12</f>
        <v>1322916</v>
      </c>
    </row>
    <row r="20" spans="1:2" x14ac:dyDescent="0.3">
      <c r="A20" s="22" t="s">
        <v>650</v>
      </c>
      <c r="B20" s="23">
        <f>SUMIF(試算表!$F$2:$F$225,"費用",試算表!$E$2:$E$225)</f>
        <v>1211103</v>
      </c>
    </row>
    <row r="21" spans="1:2" x14ac:dyDescent="0.3">
      <c r="A21" s="15" t="s">
        <v>651</v>
      </c>
      <c r="B21" s="16">
        <f>VLOOKUP("6010",試算表!$A:$E,5,FALSE)</f>
        <v>1068000</v>
      </c>
    </row>
    <row r="22" spans="1:2" x14ac:dyDescent="0.3">
      <c r="A22" s="15" t="s">
        <v>652</v>
      </c>
      <c r="B22" s="16">
        <f>VLOOKUP("6020",試算表!$A:$E,5,FALSE)</f>
        <v>0</v>
      </c>
    </row>
    <row r="23" spans="1:2" x14ac:dyDescent="0.3">
      <c r="A23" s="15" t="s">
        <v>653</v>
      </c>
      <c r="B23" s="16">
        <f>VLOOKUP("6030",試算表!$A:$E,5,FALSE)</f>
        <v>25605</v>
      </c>
    </row>
    <row r="24" spans="1:2" x14ac:dyDescent="0.3">
      <c r="A24" s="15" t="s">
        <v>654</v>
      </c>
      <c r="B24" s="16">
        <f>VLOOKUP("6040",試算表!$A:$E,5,FALSE)</f>
        <v>0</v>
      </c>
    </row>
    <row r="25" spans="1:2" x14ac:dyDescent="0.3">
      <c r="A25" s="15" t="s">
        <v>655</v>
      </c>
      <c r="B25" s="16">
        <f>VLOOKUP("6050",試算表!$A:$E,5,FALSE)</f>
        <v>0</v>
      </c>
    </row>
    <row r="26" spans="1:2" x14ac:dyDescent="0.3">
      <c r="A26" s="15" t="s">
        <v>656</v>
      </c>
      <c r="B26" s="16">
        <f>VLOOKUP("6060",試算表!$A:$E,5,FALSE)</f>
        <v>0</v>
      </c>
    </row>
    <row r="27" spans="1:2" x14ac:dyDescent="0.3">
      <c r="A27" s="15" t="s">
        <v>657</v>
      </c>
      <c r="B27" s="16">
        <f>VLOOKUP("6070",試算表!$A:$E,5,FALSE)</f>
        <v>0</v>
      </c>
    </row>
    <row r="28" spans="1:2" x14ac:dyDescent="0.3">
      <c r="A28" s="15" t="s">
        <v>658</v>
      </c>
      <c r="B28" s="16">
        <f>VLOOKUP("6080",試算表!$A:$E,5,FALSE)</f>
        <v>0</v>
      </c>
    </row>
    <row r="29" spans="1:2" x14ac:dyDescent="0.3">
      <c r="A29" s="15" t="s">
        <v>659</v>
      </c>
      <c r="B29" s="16">
        <f>VLOOKUP("6090",試算表!$A:$E,5,FALSE)</f>
        <v>43500</v>
      </c>
    </row>
    <row r="30" spans="1:2" x14ac:dyDescent="0.3">
      <c r="A30" s="15" t="s">
        <v>660</v>
      </c>
      <c r="B30" s="16">
        <f>VLOOKUP("6100",試算表!$A:$E,5,FALSE)</f>
        <v>51360</v>
      </c>
    </row>
    <row r="31" spans="1:2" x14ac:dyDescent="0.3">
      <c r="A31" s="15" t="s">
        <v>661</v>
      </c>
      <c r="B31" s="16">
        <f>VLOOKUP("6110",試算表!$A:$E,5,FALSE)</f>
        <v>0</v>
      </c>
    </row>
    <row r="32" spans="1:2" x14ac:dyDescent="0.3">
      <c r="A32" s="15" t="s">
        <v>662</v>
      </c>
      <c r="B32" s="16">
        <f>VLOOKUP("6120",試算表!$A:$E,5,FALSE)</f>
        <v>0</v>
      </c>
    </row>
    <row r="33" spans="1:2" x14ac:dyDescent="0.3">
      <c r="A33" s="15" t="s">
        <v>663</v>
      </c>
      <c r="B33" s="16">
        <f>VLOOKUP("6130",試算表!$A:$E,5,FALSE)</f>
        <v>0</v>
      </c>
    </row>
    <row r="34" spans="1:2" x14ac:dyDescent="0.3">
      <c r="A34" s="15" t="s">
        <v>664</v>
      </c>
      <c r="B34" s="16">
        <f>VLOOKUP("6140",試算表!$A:$E,5,FALSE)</f>
        <v>0</v>
      </c>
    </row>
    <row r="35" spans="1:2" x14ac:dyDescent="0.3">
      <c r="A35" s="15" t="s">
        <v>665</v>
      </c>
      <c r="B35" s="16">
        <f>VLOOKUP("6150",試算表!$A:$E,5,FALSE)</f>
        <v>0</v>
      </c>
    </row>
    <row r="36" spans="1:2" x14ac:dyDescent="0.3">
      <c r="A36" s="15" t="s">
        <v>666</v>
      </c>
      <c r="B36" s="16">
        <f>VLOOKUP("6160",試算表!$A:$E,5,FALSE)</f>
        <v>0</v>
      </c>
    </row>
    <row r="37" spans="1:2" x14ac:dyDescent="0.3">
      <c r="A37" s="15" t="s">
        <v>667</v>
      </c>
      <c r="B37" s="16">
        <f>VLOOKUP("6170",試算表!$A:$E,5,FALSE)</f>
        <v>0</v>
      </c>
    </row>
    <row r="38" spans="1:2" x14ac:dyDescent="0.3">
      <c r="A38" s="15" t="s">
        <v>668</v>
      </c>
      <c r="B38" s="16">
        <f>VLOOKUP("6180",試算表!$A:$E,5,FALSE)</f>
        <v>0</v>
      </c>
    </row>
    <row r="39" spans="1:2" x14ac:dyDescent="0.3">
      <c r="A39" s="15" t="s">
        <v>669</v>
      </c>
      <c r="B39" s="16">
        <f>VLOOKUP("6190",試算表!$A:$E,5,FALSE)</f>
        <v>0</v>
      </c>
    </row>
    <row r="40" spans="1:2" x14ac:dyDescent="0.3">
      <c r="A40" s="15" t="s">
        <v>670</v>
      </c>
      <c r="B40" s="16">
        <f>VLOOKUP("6200",試算表!$A:$E,5,FALSE)</f>
        <v>0</v>
      </c>
    </row>
    <row r="41" spans="1:2" x14ac:dyDescent="0.3">
      <c r="A41" s="15" t="s">
        <v>671</v>
      </c>
      <c r="B41" s="16">
        <f>VLOOKUP("6210",試算表!$A:$E,5,FALSE)</f>
        <v>0</v>
      </c>
    </row>
    <row r="42" spans="1:2" x14ac:dyDescent="0.3">
      <c r="A42" s="15" t="s">
        <v>672</v>
      </c>
      <c r="B42" s="16">
        <f>VLOOKUP("6220",試算表!$A:$E,5,FALSE)</f>
        <v>0</v>
      </c>
    </row>
    <row r="43" spans="1:2" x14ac:dyDescent="0.3">
      <c r="A43" s="15" t="s">
        <v>673</v>
      </c>
      <c r="B43" s="16">
        <f>VLOOKUP("6230",試算表!$A:$E,5,FALSE)</f>
        <v>0</v>
      </c>
    </row>
    <row r="44" spans="1:2" x14ac:dyDescent="0.3">
      <c r="A44" s="15" t="s">
        <v>674</v>
      </c>
      <c r="B44" s="16">
        <f>VLOOKUP("6240",試算表!$A:$E,5,FALSE)</f>
        <v>0</v>
      </c>
    </row>
    <row r="45" spans="1:2" x14ac:dyDescent="0.3">
      <c r="A45" s="15" t="s">
        <v>675</v>
      </c>
      <c r="B45" s="16">
        <f>VLOOKUP("6250",試算表!$A:$E,5,FALSE)</f>
        <v>0</v>
      </c>
    </row>
    <row r="46" spans="1:2" x14ac:dyDescent="0.3">
      <c r="A46" s="15" t="s">
        <v>676</v>
      </c>
      <c r="B46" s="16">
        <f>VLOOKUP("6260",試算表!$A:$E,5,FALSE)</f>
        <v>0</v>
      </c>
    </row>
    <row r="47" spans="1:2" x14ac:dyDescent="0.3">
      <c r="A47" s="15" t="s">
        <v>677</v>
      </c>
      <c r="B47" s="16">
        <f>VLOOKUP("6270",試算表!$A:$E,5,FALSE)</f>
        <v>0</v>
      </c>
    </row>
    <row r="48" spans="1:2" x14ac:dyDescent="0.3">
      <c r="A48" s="15" t="s">
        <v>678</v>
      </c>
      <c r="B48" s="16">
        <f>VLOOKUP("6280",試算表!$A:$E,5,FALSE)</f>
        <v>0</v>
      </c>
    </row>
    <row r="49" spans="1:2" x14ac:dyDescent="0.3">
      <c r="A49" s="15" t="s">
        <v>679</v>
      </c>
      <c r="B49" s="16">
        <f>VLOOKUP("6290",試算表!$A:$E,5,FALSE)</f>
        <v>3688</v>
      </c>
    </row>
    <row r="50" spans="1:2" x14ac:dyDescent="0.3">
      <c r="A50" s="15" t="s">
        <v>680</v>
      </c>
      <c r="B50" s="16">
        <f>VLOOKUP("6300",試算表!$A:$E,5,FALSE)</f>
        <v>0</v>
      </c>
    </row>
    <row r="51" spans="1:2" x14ac:dyDescent="0.3">
      <c r="A51" s="15" t="s">
        <v>681</v>
      </c>
      <c r="B51" s="16">
        <f>VLOOKUP("6310",試算表!$A:$E,5,FALSE)</f>
        <v>0</v>
      </c>
    </row>
    <row r="52" spans="1:2" x14ac:dyDescent="0.3">
      <c r="A52" s="15" t="s">
        <v>682</v>
      </c>
      <c r="B52" s="16">
        <f>VLOOKUP("6320",試算表!$A:$E,5,FALSE)</f>
        <v>18950</v>
      </c>
    </row>
    <row r="53" spans="1:2" x14ac:dyDescent="0.3">
      <c r="A53" s="15" t="s">
        <v>683</v>
      </c>
      <c r="B53" s="16">
        <f>VLOOKUP("6330",試算表!$A:$E,5,FALSE)</f>
        <v>0</v>
      </c>
    </row>
    <row r="54" spans="1:2" hidden="1" x14ac:dyDescent="0.3">
      <c r="A54" s="15" t="s">
        <v>684</v>
      </c>
      <c r="B54" s="16">
        <f>VLOOKUP("6340",試算表!$A:$E,5,FALSE)</f>
        <v>0</v>
      </c>
    </row>
    <row r="55" spans="1:2" hidden="1" x14ac:dyDescent="0.3">
      <c r="A55" s="15" t="s">
        <v>685</v>
      </c>
      <c r="B55" s="16">
        <f>VLOOKUP("6350",試算表!$A:$E,5,FALSE)</f>
        <v>0</v>
      </c>
    </row>
    <row r="56" spans="1:2" hidden="1" x14ac:dyDescent="0.3">
      <c r="A56" s="15" t="s">
        <v>686</v>
      </c>
      <c r="B56" s="16">
        <f>VLOOKUP("6360",試算表!$A:$E,5,FALSE)</f>
        <v>0</v>
      </c>
    </row>
    <row r="57" spans="1:2" hidden="1" x14ac:dyDescent="0.3">
      <c r="A57" s="15" t="s">
        <v>687</v>
      </c>
      <c r="B57" s="16">
        <f>VLOOKUP("6370",試算表!$A:$E,5,FALSE)</f>
        <v>0</v>
      </c>
    </row>
    <row r="58" spans="1:2" hidden="1" x14ac:dyDescent="0.3">
      <c r="A58" s="15" t="s">
        <v>688</v>
      </c>
      <c r="B58" s="16">
        <f>VLOOKUP("6380",試算表!$A:$E,5,FALSE)</f>
        <v>0</v>
      </c>
    </row>
    <row r="59" spans="1:2" hidden="1" x14ac:dyDescent="0.3">
      <c r="A59" s="15" t="s">
        <v>689</v>
      </c>
      <c r="B59" s="16">
        <f>VLOOKUP("6390",試算表!$A:$E,5,FALSE)</f>
        <v>0</v>
      </c>
    </row>
    <row r="60" spans="1:2" hidden="1" x14ac:dyDescent="0.3">
      <c r="A60" s="15" t="s">
        <v>690</v>
      </c>
      <c r="B60" s="16">
        <f>VLOOKUP("6400",試算表!$A:$E,5,FALSE)</f>
        <v>0</v>
      </c>
    </row>
    <row r="61" spans="1:2" hidden="1" x14ac:dyDescent="0.3">
      <c r="A61" s="15" t="s">
        <v>691</v>
      </c>
      <c r="B61" s="16">
        <f>VLOOKUP("6410",試算表!$A:$E,5,FALSE)</f>
        <v>0</v>
      </c>
    </row>
    <row r="62" spans="1:2" hidden="1" x14ac:dyDescent="0.3">
      <c r="A62" s="15" t="s">
        <v>692</v>
      </c>
      <c r="B62" s="16">
        <f>VLOOKUP("6420",試算表!$A:$E,5,FALSE)</f>
        <v>0</v>
      </c>
    </row>
    <row r="63" spans="1:2" hidden="1" x14ac:dyDescent="0.3">
      <c r="A63" s="15" t="s">
        <v>693</v>
      </c>
      <c r="B63" s="16">
        <f>VLOOKUP("6430",試算表!$A:$E,5,FALSE)</f>
        <v>0</v>
      </c>
    </row>
    <row r="64" spans="1:2" hidden="1" x14ac:dyDescent="0.3">
      <c r="A64" s="15" t="s">
        <v>694</v>
      </c>
      <c r="B64" s="16">
        <f>VLOOKUP("6440",試算表!$A:$E,5,FALSE)</f>
        <v>0</v>
      </c>
    </row>
    <row r="65" spans="1:2" hidden="1" x14ac:dyDescent="0.3">
      <c r="A65" s="15" t="s">
        <v>695</v>
      </c>
      <c r="B65" s="16">
        <f>VLOOKUP("6450",試算表!$A:$E,5,FALSE)</f>
        <v>0</v>
      </c>
    </row>
    <row r="66" spans="1:2" hidden="1" x14ac:dyDescent="0.3">
      <c r="A66" s="15" t="s">
        <v>696</v>
      </c>
      <c r="B66" s="16">
        <f>VLOOKUP("6460",試算表!$A:$E,5,FALSE)</f>
        <v>0</v>
      </c>
    </row>
    <row r="67" spans="1:2" hidden="1" x14ac:dyDescent="0.3">
      <c r="A67" s="15" t="s">
        <v>697</v>
      </c>
      <c r="B67" s="16">
        <f>VLOOKUP("6470",試算表!$A:$E,5,FALSE)</f>
        <v>0</v>
      </c>
    </row>
    <row r="68" spans="1:2" hidden="1" x14ac:dyDescent="0.3">
      <c r="A68" s="15" t="s">
        <v>698</v>
      </c>
      <c r="B68" s="16">
        <f>VLOOKUP("6480",試算表!$A:$E,5,FALSE)</f>
        <v>0</v>
      </c>
    </row>
    <row r="69" spans="1:2" hidden="1" x14ac:dyDescent="0.3">
      <c r="A69" s="15" t="s">
        <v>699</v>
      </c>
      <c r="B69" s="16">
        <f>VLOOKUP("6490",試算表!$A:$E,5,FALSE)</f>
        <v>0</v>
      </c>
    </row>
    <row r="70" spans="1:2" hidden="1" x14ac:dyDescent="0.3">
      <c r="A70" s="15" t="s">
        <v>700</v>
      </c>
      <c r="B70" s="16">
        <f>VLOOKUP("6500",試算表!$A:$E,5,FALSE)</f>
        <v>0</v>
      </c>
    </row>
    <row r="71" spans="1:2" hidden="1" x14ac:dyDescent="0.3">
      <c r="A71" s="15" t="s">
        <v>701</v>
      </c>
      <c r="B71" s="16">
        <f>VLOOKUP("6510",試算表!$A:$E,5,FALSE)</f>
        <v>0</v>
      </c>
    </row>
    <row r="72" spans="1:2" hidden="1" x14ac:dyDescent="0.3">
      <c r="A72" s="15" t="s">
        <v>702</v>
      </c>
      <c r="B72" s="16">
        <f>VLOOKUP("6520",試算表!$A:$E,5,FALSE)</f>
        <v>0</v>
      </c>
    </row>
    <row r="73" spans="1:2" hidden="1" x14ac:dyDescent="0.3">
      <c r="A73" s="15" t="s">
        <v>703</v>
      </c>
      <c r="B73" s="16">
        <f>VLOOKUP("6530",試算表!$A:$E,5,FALSE)</f>
        <v>0</v>
      </c>
    </row>
    <row r="75" spans="1:2" x14ac:dyDescent="0.3">
      <c r="A75" s="9" t="s">
        <v>704</v>
      </c>
      <c r="B75" s="24">
        <f>B18-B20</f>
        <v>111813</v>
      </c>
    </row>
    <row r="77" spans="1:2" x14ac:dyDescent="0.3">
      <c r="A77" s="9" t="s">
        <v>705</v>
      </c>
      <c r="B77" s="24">
        <f>B75</f>
        <v>111813</v>
      </c>
    </row>
    <row r="78" spans="1:2" x14ac:dyDescent="0.3">
      <c r="A78" s="22" t="s">
        <v>706</v>
      </c>
      <c r="B78" s="23">
        <f>SUMIF(試算表!$F$2:$F$225,"所得稅",試算表!$E$2:$E$225)</f>
        <v>0</v>
      </c>
    </row>
    <row r="79" spans="1:2" x14ac:dyDescent="0.3">
      <c r="A79" s="15" t="s">
        <v>707</v>
      </c>
      <c r="B79" s="16">
        <f>VLOOKUP("9000",試算表!$A:$E,5,FALSE)</f>
        <v>0</v>
      </c>
    </row>
    <row r="80" spans="1:2" x14ac:dyDescent="0.3">
      <c r="A80" s="15" t="s">
        <v>708</v>
      </c>
      <c r="B80" s="16">
        <f>VLOOKUP("9500",試算表!$A:$E,5,FALSE)</f>
        <v>0</v>
      </c>
    </row>
    <row r="82" spans="1:2" x14ac:dyDescent="0.3">
      <c r="A82" s="19" t="s">
        <v>709</v>
      </c>
      <c r="B82" s="20">
        <f>B77-B78</f>
        <v>111813</v>
      </c>
    </row>
  </sheetData>
  <mergeCells count="1">
    <mergeCell ref="A1:E1"/>
  </mergeCells>
  <phoneticPr fontId="1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workbookViewId="0">
      <selection activeCell="F14" sqref="F14"/>
    </sheetView>
  </sheetViews>
  <sheetFormatPr defaultRowHeight="15" x14ac:dyDescent="0.3"/>
  <cols>
    <col min="1" max="1" width="28.75" customWidth="1"/>
    <col min="2" max="2" width="15" customWidth="1"/>
  </cols>
  <sheetData>
    <row r="1" spans="1:2" ht="19.8" x14ac:dyDescent="0.4">
      <c r="A1" s="11" t="s">
        <v>710</v>
      </c>
    </row>
    <row r="2" spans="1:2" x14ac:dyDescent="0.3">
      <c r="A2" s="12" t="s">
        <v>711</v>
      </c>
    </row>
    <row r="4" spans="1:2" x14ac:dyDescent="0.3">
      <c r="A4" s="22" t="s">
        <v>712</v>
      </c>
      <c r="B4" s="24">
        <f>VLOOKUP("1144",試算表!$A:$E,5,FALSE)</f>
        <v>16513</v>
      </c>
    </row>
    <row r="6" spans="1:2" x14ac:dyDescent="0.3">
      <c r="A6" s="9" t="s">
        <v>719</v>
      </c>
      <c r="B6" s="24">
        <f>SUMIF(試算表!A:A,"2134",試算表!E:E)</f>
        <v>25069</v>
      </c>
    </row>
    <row r="8" spans="1:2" x14ac:dyDescent="0.3">
      <c r="A8" s="19" t="s">
        <v>713</v>
      </c>
      <c r="B8" s="20">
        <f>B6-B4</f>
        <v>8556</v>
      </c>
    </row>
    <row r="11" spans="1:2" x14ac:dyDescent="0.3">
      <c r="A11" s="9" t="s">
        <v>714</v>
      </c>
    </row>
    <row r="12" spans="1:2" x14ac:dyDescent="0.3">
      <c r="A12" t="s">
        <v>715</v>
      </c>
    </row>
    <row r="13" spans="1:2" x14ac:dyDescent="0.3">
      <c r="A13" t="s">
        <v>716</v>
      </c>
    </row>
    <row r="14" spans="1:2" x14ac:dyDescent="0.3">
      <c r="A14" t="s">
        <v>717</v>
      </c>
    </row>
  </sheetData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說明</vt:lpstr>
      <vt:lpstr>科目表</vt:lpstr>
      <vt:lpstr>試算表</vt:lpstr>
      <vt:lpstr>日記簿</vt:lpstr>
      <vt:lpstr>資產負債表</vt:lpstr>
      <vt:lpstr>損益表</vt:lpstr>
      <vt:lpstr>VAT計算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chuang chihting</cp:lastModifiedBy>
  <dcterms:created xsi:type="dcterms:W3CDTF">2026-04-28T02:51:29Z</dcterms:created>
  <dcterms:modified xsi:type="dcterms:W3CDTF">2026-04-29T08:16:03Z</dcterms:modified>
</cp:coreProperties>
</file>